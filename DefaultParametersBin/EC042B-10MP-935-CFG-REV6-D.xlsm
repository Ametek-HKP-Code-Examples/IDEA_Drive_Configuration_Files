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ametekinc-my.sharepoint.com/personal/mike_tetmeyer_ametek_com/Documents/"/>
    </mc:Choice>
  </mc:AlternateContent>
  <xr:revisionPtr revIDLastSave="6" documentId="8_{580BDC42-19BA-4986-AE5E-24A6D59E5C29}" xr6:coauthVersionLast="47" xr6:coauthVersionMax="47" xr10:uidLastSave="{B2C2B96A-9F6D-4C3A-9953-D1988B61475F}"/>
  <bookViews>
    <workbookView xWindow="825" yWindow="780" windowWidth="21600" windowHeight="11385" tabRatio="729" activeTab="3" xr2:uid="{00000000-000D-0000-FFFF-FFFF00000000}"/>
  </bookViews>
  <sheets>
    <sheet name="Configured Model" sheetId="13" r:id="rId1"/>
    <sheet name="Motor" sheetId="3" r:id="rId2"/>
    <sheet name="Sensor" sheetId="1" r:id="rId3"/>
    <sheet name="Drive" sheetId="9" r:id="rId4"/>
    <sheet name="Lead" sheetId="5" r:id="rId5"/>
    <sheet name="GearBox" sheetId="6" r:id="rId6"/>
    <sheet name="Brake" sheetId="7" r:id="rId7"/>
    <sheet name="Header" sheetId="10" r:id="rId8"/>
    <sheet name="Binary File" sheetId="12" r:id="rId9"/>
    <sheet name="Memory  Map" sheetId="2"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6" i="9" l="1"/>
  <c r="D43" i="9" l="1"/>
  <c r="D42" i="9"/>
  <c r="D37" i="9"/>
  <c r="D36" i="9"/>
  <c r="D24" i="9"/>
  <c r="D28" i="9" l="1"/>
  <c r="D27" i="9"/>
  <c r="D25" i="9"/>
  <c r="D228" i="12" l="1"/>
  <c r="B228" i="12"/>
  <c r="D227" i="12"/>
  <c r="E227" i="12" s="1"/>
  <c r="B227" i="12"/>
  <c r="D226" i="12"/>
  <c r="E226" i="12" s="1"/>
  <c r="B226" i="12"/>
  <c r="D225" i="12"/>
  <c r="B225" i="12"/>
  <c r="D224" i="12"/>
  <c r="B224" i="12"/>
  <c r="D223" i="12"/>
  <c r="B223" i="12"/>
  <c r="F226" i="12" l="1"/>
  <c r="G226" i="12" s="1"/>
  <c r="H226" i="12" s="1"/>
  <c r="F225" i="12"/>
  <c r="N225" i="12" s="1"/>
  <c r="E223" i="12"/>
  <c r="F223" i="12"/>
  <c r="E224" i="12"/>
  <c r="F227" i="12"/>
  <c r="E228" i="12"/>
  <c r="F224" i="12"/>
  <c r="E225" i="12"/>
  <c r="F228" i="12"/>
  <c r="N226" i="12" l="1"/>
  <c r="J225" i="12"/>
  <c r="J226" i="12"/>
  <c r="G225" i="12"/>
  <c r="G227" i="12"/>
  <c r="H227" i="12" s="1"/>
  <c r="P226" i="12"/>
  <c r="L226" i="12"/>
  <c r="I226" i="12"/>
  <c r="N223" i="12"/>
  <c r="J223" i="12"/>
  <c r="G223" i="12"/>
  <c r="N228" i="12"/>
  <c r="J228" i="12"/>
  <c r="O226" i="12"/>
  <c r="K226" i="12"/>
  <c r="N224" i="12"/>
  <c r="J224" i="12"/>
  <c r="N227" i="12"/>
  <c r="J227" i="12"/>
  <c r="G228" i="12"/>
  <c r="G224" i="12"/>
  <c r="H224" i="12" s="1"/>
  <c r="B12" i="2"/>
  <c r="A10" i="2"/>
  <c r="B3" i="2"/>
  <c r="D3" i="2" s="1"/>
  <c r="D330" i="12"/>
  <c r="B330" i="12"/>
  <c r="B323" i="10" s="1"/>
  <c r="D329" i="12"/>
  <c r="F329" i="12" s="1"/>
  <c r="J329" i="12" s="1"/>
  <c r="B329" i="12"/>
  <c r="B322" i="10" s="1"/>
  <c r="D328" i="12"/>
  <c r="B328" i="12"/>
  <c r="B321" i="10" s="1"/>
  <c r="D327" i="12"/>
  <c r="B327" i="12"/>
  <c r="B320" i="10" s="1"/>
  <c r="D326" i="12"/>
  <c r="E326" i="12" s="1"/>
  <c r="B326" i="12"/>
  <c r="B319" i="10" s="1"/>
  <c r="D325" i="12"/>
  <c r="F325" i="12" s="1"/>
  <c r="B325" i="12"/>
  <c r="B318" i="10" s="1"/>
  <c r="D324" i="12"/>
  <c r="F324" i="12" s="1"/>
  <c r="B324" i="12"/>
  <c r="D323" i="12"/>
  <c r="B323" i="12"/>
  <c r="B316" i="10" s="1"/>
  <c r="D322" i="12"/>
  <c r="B322" i="12"/>
  <c r="B315" i="10" s="1"/>
  <c r="D321" i="12"/>
  <c r="F321" i="12" s="1"/>
  <c r="B321" i="12"/>
  <c r="B314" i="10" s="1"/>
  <c r="D320" i="12"/>
  <c r="B320" i="12"/>
  <c r="B313" i="10" s="1"/>
  <c r="D319" i="12"/>
  <c r="B319" i="12"/>
  <c r="B312" i="10" s="1"/>
  <c r="D318" i="12"/>
  <c r="E318" i="12" s="1"/>
  <c r="B318" i="12"/>
  <c r="B311" i="10" s="1"/>
  <c r="D317" i="12"/>
  <c r="F317" i="12" s="1"/>
  <c r="G317" i="12" s="1"/>
  <c r="B317" i="12"/>
  <c r="D316" i="12"/>
  <c r="F316" i="12" s="1"/>
  <c r="B316" i="12"/>
  <c r="B309" i="10" s="1"/>
  <c r="D315" i="12"/>
  <c r="B315" i="12"/>
  <c r="B308" i="10" s="1"/>
  <c r="D314" i="12"/>
  <c r="B314" i="12"/>
  <c r="B307" i="10" s="1"/>
  <c r="D313" i="12"/>
  <c r="B313" i="12"/>
  <c r="B306" i="10" s="1"/>
  <c r="D312" i="12"/>
  <c r="F312" i="12" s="1"/>
  <c r="B312" i="12"/>
  <c r="B305" i="10" s="1"/>
  <c r="D311" i="12"/>
  <c r="B311" i="12"/>
  <c r="B304" i="10" s="1"/>
  <c r="D310" i="12"/>
  <c r="B310" i="12"/>
  <c r="B303" i="10" s="1"/>
  <c r="D309" i="12"/>
  <c r="E309" i="12" s="1"/>
  <c r="B309" i="12"/>
  <c r="B302" i="10" s="1"/>
  <c r="D308" i="12"/>
  <c r="B308" i="12"/>
  <c r="D307" i="12"/>
  <c r="F307" i="12" s="1"/>
  <c r="N307" i="12" s="1"/>
  <c r="B307" i="12"/>
  <c r="B300" i="10" s="1"/>
  <c r="D306" i="12"/>
  <c r="B306" i="12"/>
  <c r="B299" i="10" s="1"/>
  <c r="D305" i="12"/>
  <c r="E305" i="12" s="1"/>
  <c r="B305" i="12"/>
  <c r="B298" i="10" s="1"/>
  <c r="D304" i="12"/>
  <c r="F304" i="12" s="1"/>
  <c r="G304" i="12" s="1"/>
  <c r="B304" i="12"/>
  <c r="B297" i="10" s="1"/>
  <c r="D303" i="12"/>
  <c r="F303" i="12" s="1"/>
  <c r="J303" i="12" s="1"/>
  <c r="B303" i="12"/>
  <c r="B296" i="10" s="1"/>
  <c r="D302" i="12"/>
  <c r="B302" i="12"/>
  <c r="B295" i="10" s="1"/>
  <c r="D301" i="12"/>
  <c r="B301" i="12"/>
  <c r="B294" i="10" s="1"/>
  <c r="D300" i="12"/>
  <c r="P300" i="12" s="1"/>
  <c r="B300" i="12"/>
  <c r="B293" i="10" s="1"/>
  <c r="Q299" i="12"/>
  <c r="P299" i="12"/>
  <c r="O299" i="12"/>
  <c r="N299" i="12"/>
  <c r="M299" i="12"/>
  <c r="L299" i="12"/>
  <c r="K299" i="12"/>
  <c r="J299" i="12"/>
  <c r="B299" i="12"/>
  <c r="B292" i="10" s="1"/>
  <c r="D298" i="12"/>
  <c r="B298" i="12"/>
  <c r="B291" i="10" s="1"/>
  <c r="D297" i="12"/>
  <c r="B297" i="12"/>
  <c r="B290" i="10" s="1"/>
  <c r="D296" i="12"/>
  <c r="F296" i="12" s="1"/>
  <c r="B296" i="12"/>
  <c r="B289" i="10" s="1"/>
  <c r="D295" i="12"/>
  <c r="F295" i="12" s="1"/>
  <c r="B295" i="12"/>
  <c r="B288" i="10" s="1"/>
  <c r="D294" i="12"/>
  <c r="F294" i="12" s="1"/>
  <c r="B294" i="12"/>
  <c r="B287" i="10" s="1"/>
  <c r="D293" i="12"/>
  <c r="F293" i="12" s="1"/>
  <c r="B293" i="12"/>
  <c r="B286" i="10" s="1"/>
  <c r="D292" i="12"/>
  <c r="F292" i="12" s="1"/>
  <c r="B292" i="12"/>
  <c r="B285" i="10" s="1"/>
  <c r="D291" i="12"/>
  <c r="F291" i="12" s="1"/>
  <c r="N291" i="12" s="1"/>
  <c r="B291" i="12"/>
  <c r="B284" i="10" s="1"/>
  <c r="D290" i="12"/>
  <c r="F290" i="12" s="1"/>
  <c r="B290" i="12"/>
  <c r="B283" i="10" s="1"/>
  <c r="D289" i="12"/>
  <c r="B289" i="12"/>
  <c r="B282" i="10" s="1"/>
  <c r="D288" i="12"/>
  <c r="F288" i="12" s="1"/>
  <c r="B288" i="12"/>
  <c r="B281" i="10" s="1"/>
  <c r="D287" i="12"/>
  <c r="B287" i="12"/>
  <c r="B280" i="10" s="1"/>
  <c r="D286" i="12"/>
  <c r="F286" i="12" s="1"/>
  <c r="B286" i="12"/>
  <c r="B279" i="10" s="1"/>
  <c r="D285" i="12"/>
  <c r="F285" i="12" s="1"/>
  <c r="J285" i="12" s="1"/>
  <c r="B285" i="12"/>
  <c r="B278" i="10" s="1"/>
  <c r="D284" i="12"/>
  <c r="F284" i="12" s="1"/>
  <c r="N284" i="12" s="1"/>
  <c r="B284" i="12"/>
  <c r="B277" i="10" s="1"/>
  <c r="D283" i="12"/>
  <c r="F283" i="12" s="1"/>
  <c r="J283" i="12" s="1"/>
  <c r="B283" i="12"/>
  <c r="B276" i="10" s="1"/>
  <c r="D282" i="12"/>
  <c r="B282" i="12"/>
  <c r="B275" i="10" s="1"/>
  <c r="D281" i="12"/>
  <c r="B281" i="12"/>
  <c r="B274" i="10" s="1"/>
  <c r="D280" i="12"/>
  <c r="F280" i="12" s="1"/>
  <c r="J280" i="12" s="1"/>
  <c r="B280" i="12"/>
  <c r="B273" i="10" s="1"/>
  <c r="D279" i="12"/>
  <c r="B279" i="12"/>
  <c r="B272" i="10" s="1"/>
  <c r="D278" i="12"/>
  <c r="F278" i="12" s="1"/>
  <c r="B278" i="12"/>
  <c r="B271" i="10" s="1"/>
  <c r="D277" i="12"/>
  <c r="E277" i="12" s="1"/>
  <c r="B277" i="12"/>
  <c r="B270" i="10" s="1"/>
  <c r="D276" i="12"/>
  <c r="F276" i="12" s="1"/>
  <c r="B276" i="12"/>
  <c r="B269" i="10" s="1"/>
  <c r="D275" i="12"/>
  <c r="F275" i="12" s="1"/>
  <c r="B275" i="12"/>
  <c r="B268" i="10" s="1"/>
  <c r="D274" i="12"/>
  <c r="B274" i="12"/>
  <c r="B267" i="10" s="1"/>
  <c r="D273" i="12"/>
  <c r="B273" i="12"/>
  <c r="B266" i="10" s="1"/>
  <c r="D272" i="12"/>
  <c r="B272" i="12"/>
  <c r="B265" i="10" s="1"/>
  <c r="D271" i="12"/>
  <c r="B271" i="12"/>
  <c r="B264" i="10" s="1"/>
  <c r="D270" i="12"/>
  <c r="F270" i="12" s="1"/>
  <c r="N270" i="12" s="1"/>
  <c r="B270" i="12"/>
  <c r="B263" i="10" s="1"/>
  <c r="D269" i="12"/>
  <c r="N269" i="12" s="1"/>
  <c r="B269" i="12"/>
  <c r="B262" i="10" s="1"/>
  <c r="D268" i="12"/>
  <c r="N268" i="12" s="1"/>
  <c r="B268" i="12"/>
  <c r="B261" i="10" s="1"/>
  <c r="D267" i="12"/>
  <c r="N267" i="12" s="1"/>
  <c r="B267" i="12"/>
  <c r="B260" i="10" s="1"/>
  <c r="D266" i="12"/>
  <c r="F266" i="12" s="1"/>
  <c r="B266" i="12"/>
  <c r="B259" i="10" s="1"/>
  <c r="D265" i="12"/>
  <c r="B265" i="12"/>
  <c r="B258" i="10" s="1"/>
  <c r="D264" i="12"/>
  <c r="B264" i="12"/>
  <c r="B257" i="10" s="1"/>
  <c r="D263" i="12"/>
  <c r="F263" i="12" s="1"/>
  <c r="B263" i="12"/>
  <c r="B256" i="10" s="1"/>
  <c r="D262" i="12"/>
  <c r="B262" i="12"/>
  <c r="B255" i="10" s="1"/>
  <c r="D261" i="12"/>
  <c r="B261" i="12"/>
  <c r="B254" i="10" s="1"/>
  <c r="D260" i="12"/>
  <c r="B260" i="12"/>
  <c r="B253" i="10" s="1"/>
  <c r="D259" i="12"/>
  <c r="F259" i="12" s="1"/>
  <c r="B259" i="12"/>
  <c r="B252" i="10" s="1"/>
  <c r="D258" i="12"/>
  <c r="F258" i="12" s="1"/>
  <c r="B258" i="12"/>
  <c r="B251" i="10" s="1"/>
  <c r="D257" i="12"/>
  <c r="B257" i="12"/>
  <c r="B250" i="10" s="1"/>
  <c r="D256" i="12"/>
  <c r="F256" i="12" s="1"/>
  <c r="B256" i="12"/>
  <c r="B249" i="10" s="1"/>
  <c r="D255" i="12"/>
  <c r="B255" i="12"/>
  <c r="B248" i="10" s="1"/>
  <c r="D254" i="12"/>
  <c r="E254" i="12" s="1"/>
  <c r="B254" i="12"/>
  <c r="B247" i="10" s="1"/>
  <c r="D253" i="12"/>
  <c r="B253" i="12"/>
  <c r="B246" i="10" s="1"/>
  <c r="D252" i="12"/>
  <c r="B252" i="12"/>
  <c r="B245" i="10" s="1"/>
  <c r="D251" i="12"/>
  <c r="F251" i="12" s="1"/>
  <c r="B251" i="12"/>
  <c r="B244" i="10" s="1"/>
  <c r="D250" i="12"/>
  <c r="B250" i="12"/>
  <c r="B243" i="10" s="1"/>
  <c r="D249" i="12"/>
  <c r="F249" i="12" s="1"/>
  <c r="B249" i="12"/>
  <c r="B242" i="10" s="1"/>
  <c r="D248" i="12"/>
  <c r="B248" i="12"/>
  <c r="B241" i="10" s="1"/>
  <c r="D247" i="12"/>
  <c r="B247" i="12"/>
  <c r="B240" i="10" s="1"/>
  <c r="D246" i="12"/>
  <c r="F246" i="12" s="1"/>
  <c r="B246" i="12"/>
  <c r="B239" i="10" s="1"/>
  <c r="D245" i="12"/>
  <c r="E245" i="12" s="1"/>
  <c r="B245" i="12"/>
  <c r="B238" i="10" s="1"/>
  <c r="D244" i="12"/>
  <c r="F244" i="12" s="1"/>
  <c r="G244" i="12" s="1"/>
  <c r="B244" i="12"/>
  <c r="B237" i="10" s="1"/>
  <c r="D243" i="12"/>
  <c r="F243" i="12" s="1"/>
  <c r="B243" i="12"/>
  <c r="B236" i="10" s="1"/>
  <c r="D242" i="12"/>
  <c r="F242" i="12" s="1"/>
  <c r="N242" i="12" s="1"/>
  <c r="B242" i="12"/>
  <c r="B235" i="10" s="1"/>
  <c r="D241" i="12"/>
  <c r="F241" i="12" s="1"/>
  <c r="N241" i="12" s="1"/>
  <c r="B241" i="12"/>
  <c r="B234" i="10" s="1"/>
  <c r="D240" i="12"/>
  <c r="B240" i="12"/>
  <c r="B233" i="10" s="1"/>
  <c r="D239" i="12"/>
  <c r="B239" i="12"/>
  <c r="B232" i="10" s="1"/>
  <c r="D238" i="12"/>
  <c r="B238" i="12"/>
  <c r="B231" i="10" s="1"/>
  <c r="D237" i="12"/>
  <c r="N237" i="12" s="1"/>
  <c r="B237" i="12"/>
  <c r="B230" i="10" s="1"/>
  <c r="D236" i="12"/>
  <c r="Q236" i="12" s="1"/>
  <c r="B236" i="12"/>
  <c r="B229" i="10" s="1"/>
  <c r="D235" i="12"/>
  <c r="Q235" i="12" s="1"/>
  <c r="B235" i="12"/>
  <c r="B228" i="10" s="1"/>
  <c r="D234" i="12"/>
  <c r="F234" i="12" s="1"/>
  <c r="N234" i="12" s="1"/>
  <c r="B234" i="12"/>
  <c r="B227" i="10" s="1"/>
  <c r="D233" i="12"/>
  <c r="B233" i="12"/>
  <c r="B226" i="10" s="1"/>
  <c r="D232" i="12"/>
  <c r="B232" i="12"/>
  <c r="B225" i="10" s="1"/>
  <c r="D231" i="12"/>
  <c r="E231" i="12" s="1"/>
  <c r="B231" i="12"/>
  <c r="B224" i="10" s="1"/>
  <c r="D230" i="12"/>
  <c r="F230" i="12" s="1"/>
  <c r="B230" i="12"/>
  <c r="B223" i="10" s="1"/>
  <c r="D229" i="12"/>
  <c r="B229" i="12"/>
  <c r="B222" i="10" s="1"/>
  <c r="D222" i="12"/>
  <c r="B222" i="12"/>
  <c r="B221" i="10" s="1"/>
  <c r="D221" i="12"/>
  <c r="E221" i="12" s="1"/>
  <c r="B221" i="12"/>
  <c r="B220" i="10" s="1"/>
  <c r="D220" i="12"/>
  <c r="F220" i="12" s="1"/>
  <c r="N220" i="12" s="1"/>
  <c r="B220" i="12"/>
  <c r="B219" i="10" s="1"/>
  <c r="D219" i="12"/>
  <c r="F219" i="12" s="1"/>
  <c r="B219" i="12"/>
  <c r="B218" i="10" s="1"/>
  <c r="D218" i="12"/>
  <c r="B218" i="12"/>
  <c r="B217" i="10" s="1"/>
  <c r="D217" i="12"/>
  <c r="B217" i="12"/>
  <c r="B216" i="10" s="1"/>
  <c r="D216" i="12"/>
  <c r="F216" i="12" s="1"/>
  <c r="B216" i="12"/>
  <c r="B215" i="10" s="1"/>
  <c r="D215" i="12"/>
  <c r="F215" i="12" s="1"/>
  <c r="B215" i="12"/>
  <c r="B214" i="10" s="1"/>
  <c r="D214" i="12"/>
  <c r="B214" i="12"/>
  <c r="B213" i="10" s="1"/>
  <c r="D213" i="12"/>
  <c r="B213" i="12"/>
  <c r="B212" i="10" s="1"/>
  <c r="D212" i="12"/>
  <c r="F212" i="12" s="1"/>
  <c r="N212" i="12" s="1"/>
  <c r="B212" i="12"/>
  <c r="B211" i="10" s="1"/>
  <c r="D211" i="12"/>
  <c r="F211" i="12" s="1"/>
  <c r="B211" i="12"/>
  <c r="B210" i="10" s="1"/>
  <c r="D210" i="12"/>
  <c r="B210" i="12"/>
  <c r="B209" i="10" s="1"/>
  <c r="D209" i="12"/>
  <c r="E209" i="12" s="1"/>
  <c r="B209" i="12"/>
  <c r="B208" i="10" s="1"/>
  <c r="D208" i="12"/>
  <c r="B208" i="12"/>
  <c r="B207" i="10" s="1"/>
  <c r="D207" i="12"/>
  <c r="F207" i="12" s="1"/>
  <c r="B207" i="12"/>
  <c r="B206" i="10" s="1"/>
  <c r="D206" i="12"/>
  <c r="B206" i="12"/>
  <c r="B205" i="10" s="1"/>
  <c r="D205" i="12"/>
  <c r="E205" i="12" s="1"/>
  <c r="B205" i="12"/>
  <c r="B204" i="10" s="1"/>
  <c r="D204" i="12"/>
  <c r="B204" i="12"/>
  <c r="B203" i="10" s="1"/>
  <c r="D203" i="12"/>
  <c r="B203" i="12"/>
  <c r="B202" i="10" s="1"/>
  <c r="D202" i="12"/>
  <c r="F202" i="12" s="1"/>
  <c r="B202" i="12"/>
  <c r="B201" i="10" s="1"/>
  <c r="D201" i="12"/>
  <c r="F201" i="12" s="1"/>
  <c r="N201" i="12" s="1"/>
  <c r="B201" i="12"/>
  <c r="B200" i="10" s="1"/>
  <c r="D200" i="12"/>
  <c r="B200" i="12"/>
  <c r="B199" i="10" s="1"/>
  <c r="D199" i="12"/>
  <c r="F199" i="12" s="1"/>
  <c r="B199" i="12"/>
  <c r="B198" i="10" s="1"/>
  <c r="D198" i="12"/>
  <c r="E198" i="12" s="1"/>
  <c r="B198" i="12"/>
  <c r="B197" i="10" s="1"/>
  <c r="D197" i="12"/>
  <c r="B197" i="12"/>
  <c r="B196" i="10" s="1"/>
  <c r="D196" i="12"/>
  <c r="B196" i="12"/>
  <c r="B195" i="10" s="1"/>
  <c r="D195" i="12"/>
  <c r="F195" i="12" s="1"/>
  <c r="B195" i="12"/>
  <c r="B194" i="10" s="1"/>
  <c r="D194" i="12"/>
  <c r="B194" i="12"/>
  <c r="B193" i="10" s="1"/>
  <c r="D193" i="12"/>
  <c r="E193" i="12" s="1"/>
  <c r="B193" i="12"/>
  <c r="B192" i="10" s="1"/>
  <c r="D192" i="12"/>
  <c r="F192" i="12" s="1"/>
  <c r="B192" i="12"/>
  <c r="B191" i="10" s="1"/>
  <c r="D191" i="12"/>
  <c r="B191" i="12"/>
  <c r="B190" i="10" s="1"/>
  <c r="D190" i="12"/>
  <c r="E190" i="12" s="1"/>
  <c r="B190" i="12"/>
  <c r="B189" i="10" s="1"/>
  <c r="D189" i="12"/>
  <c r="F189" i="12" s="1"/>
  <c r="B189" i="12"/>
  <c r="B188" i="10" s="1"/>
  <c r="D188" i="12"/>
  <c r="F188" i="12" s="1"/>
  <c r="B188" i="12"/>
  <c r="B187" i="10" s="1"/>
  <c r="D187" i="12"/>
  <c r="B187" i="12"/>
  <c r="B186" i="10" s="1"/>
  <c r="D186" i="12"/>
  <c r="B186" i="12"/>
  <c r="B185" i="10" s="1"/>
  <c r="D185" i="12"/>
  <c r="F185" i="12" s="1"/>
  <c r="B185" i="12"/>
  <c r="B184" i="10" s="1"/>
  <c r="D184" i="12"/>
  <c r="F184" i="12" s="1"/>
  <c r="J184" i="12" s="1"/>
  <c r="B184" i="12"/>
  <c r="B183" i="10" s="1"/>
  <c r="D183" i="12"/>
  <c r="B183" i="12"/>
  <c r="B182" i="10" s="1"/>
  <c r="D182" i="12"/>
  <c r="E182" i="12" s="1"/>
  <c r="B182" i="12"/>
  <c r="B181" i="10" s="1"/>
  <c r="D181" i="12"/>
  <c r="E181" i="12" s="1"/>
  <c r="B181" i="12"/>
  <c r="B180" i="10" s="1"/>
  <c r="D180" i="12"/>
  <c r="B180" i="12"/>
  <c r="B179" i="10" s="1"/>
  <c r="D179" i="12"/>
  <c r="Q179" i="12" s="1"/>
  <c r="B179" i="12"/>
  <c r="B178" i="10" s="1"/>
  <c r="D178" i="12"/>
  <c r="Q178" i="12" s="1"/>
  <c r="B178" i="12"/>
  <c r="B177" i="10" s="1"/>
  <c r="D177" i="12"/>
  <c r="Q177" i="12" s="1"/>
  <c r="B177" i="12"/>
  <c r="B176" i="10" s="1"/>
  <c r="D176" i="12"/>
  <c r="Q176" i="12" s="1"/>
  <c r="B176" i="12"/>
  <c r="B175" i="10" s="1"/>
  <c r="D175" i="12"/>
  <c r="Q175" i="12" s="1"/>
  <c r="B175" i="12"/>
  <c r="B174" i="10" s="1"/>
  <c r="D174" i="12"/>
  <c r="B174" i="12"/>
  <c r="B173" i="10" s="1"/>
  <c r="D173" i="12"/>
  <c r="Q173" i="12" s="1"/>
  <c r="B173" i="12"/>
  <c r="B172" i="10" s="1"/>
  <c r="D172" i="12"/>
  <c r="Q172" i="12" s="1"/>
  <c r="B172" i="12"/>
  <c r="B171" i="10" s="1"/>
  <c r="D171" i="12"/>
  <c r="O171" i="12" s="1"/>
  <c r="B171" i="12"/>
  <c r="B170" i="10" s="1"/>
  <c r="D170" i="12"/>
  <c r="F170" i="12" s="1"/>
  <c r="J170" i="12" s="1"/>
  <c r="B170" i="12"/>
  <c r="B169" i="10" s="1"/>
  <c r="D169" i="12"/>
  <c r="B169" i="12"/>
  <c r="B168" i="10" s="1"/>
  <c r="D168" i="12"/>
  <c r="B168" i="12"/>
  <c r="B167" i="10" s="1"/>
  <c r="D167" i="12"/>
  <c r="B167" i="12"/>
  <c r="B166" i="10" s="1"/>
  <c r="D166" i="12"/>
  <c r="F166" i="12" s="1"/>
  <c r="N166" i="12" s="1"/>
  <c r="B166" i="12"/>
  <c r="B165" i="10" s="1"/>
  <c r="D165" i="12"/>
  <c r="F165" i="12" s="1"/>
  <c r="N165" i="12" s="1"/>
  <c r="B165" i="12"/>
  <c r="B164" i="10" s="1"/>
  <c r="D164" i="12"/>
  <c r="F164" i="12" s="1"/>
  <c r="B164" i="12"/>
  <c r="B163" i="10" s="1"/>
  <c r="D163" i="12"/>
  <c r="B163" i="12"/>
  <c r="B162" i="10" s="1"/>
  <c r="D162" i="12"/>
  <c r="F162" i="12" s="1"/>
  <c r="N162" i="12" s="1"/>
  <c r="B162" i="12"/>
  <c r="B161" i="10" s="1"/>
  <c r="D161" i="12"/>
  <c r="F161" i="12" s="1"/>
  <c r="N161" i="12" s="1"/>
  <c r="B161" i="12"/>
  <c r="B160" i="10" s="1"/>
  <c r="D160" i="12"/>
  <c r="B160" i="12"/>
  <c r="B159" i="10" s="1"/>
  <c r="D159" i="12"/>
  <c r="B159" i="12"/>
  <c r="B158" i="10" s="1"/>
  <c r="D158" i="12"/>
  <c r="E158" i="12" s="1"/>
  <c r="B158" i="12"/>
  <c r="B157" i="10" s="1"/>
  <c r="D157" i="12"/>
  <c r="F157" i="12" s="1"/>
  <c r="N157" i="12" s="1"/>
  <c r="B157" i="12"/>
  <c r="B156" i="10" s="1"/>
  <c r="D156" i="12"/>
  <c r="F156" i="12" s="1"/>
  <c r="B156" i="12"/>
  <c r="B155" i="10" s="1"/>
  <c r="D155" i="12"/>
  <c r="B155" i="12"/>
  <c r="B154" i="10" s="1"/>
  <c r="D154" i="12"/>
  <c r="F154" i="12" s="1"/>
  <c r="N154" i="12" s="1"/>
  <c r="B154" i="12"/>
  <c r="B153" i="10" s="1"/>
  <c r="D153" i="12"/>
  <c r="F153" i="12" s="1"/>
  <c r="N153" i="12" s="1"/>
  <c r="B153" i="12"/>
  <c r="B152" i="10" s="1"/>
  <c r="D152" i="12"/>
  <c r="B152" i="12"/>
  <c r="B151" i="10" s="1"/>
  <c r="D151" i="12"/>
  <c r="B151" i="12"/>
  <c r="B150" i="10" s="1"/>
  <c r="D150" i="12"/>
  <c r="F150" i="12" s="1"/>
  <c r="B150" i="12"/>
  <c r="B149" i="10" s="1"/>
  <c r="D149" i="12"/>
  <c r="F149" i="12" s="1"/>
  <c r="N149" i="12" s="1"/>
  <c r="B149" i="12"/>
  <c r="B148" i="10" s="1"/>
  <c r="D148" i="12"/>
  <c r="F148" i="12" s="1"/>
  <c r="B148" i="12"/>
  <c r="B147" i="10" s="1"/>
  <c r="D147" i="12"/>
  <c r="B147" i="12"/>
  <c r="B146" i="10" s="1"/>
  <c r="D146" i="12"/>
  <c r="F146" i="12" s="1"/>
  <c r="N146" i="12" s="1"/>
  <c r="B146" i="12"/>
  <c r="B145" i="10" s="1"/>
  <c r="D145" i="12"/>
  <c r="F145" i="12" s="1"/>
  <c r="N145" i="12" s="1"/>
  <c r="B145" i="12"/>
  <c r="B144" i="10" s="1"/>
  <c r="D144" i="12"/>
  <c r="F144" i="12" s="1"/>
  <c r="B144" i="12"/>
  <c r="B143" i="10" s="1"/>
  <c r="D143" i="12"/>
  <c r="B143" i="12"/>
  <c r="B142" i="10" s="1"/>
  <c r="D142" i="12"/>
  <c r="P142" i="12" s="1"/>
  <c r="B142" i="12"/>
  <c r="B141" i="10" s="1"/>
  <c r="D141" i="12"/>
  <c r="P141" i="12" s="1"/>
  <c r="B141" i="12"/>
  <c r="B140" i="10" s="1"/>
  <c r="D140" i="12"/>
  <c r="P140" i="12" s="1"/>
  <c r="B140" i="12"/>
  <c r="B139" i="10" s="1"/>
  <c r="D139" i="12"/>
  <c r="P139" i="12" s="1"/>
  <c r="B139" i="12"/>
  <c r="B138" i="10" s="1"/>
  <c r="D138" i="12"/>
  <c r="B138" i="12"/>
  <c r="B137" i="10" s="1"/>
  <c r="D137" i="12"/>
  <c r="F137" i="12" s="1"/>
  <c r="N137" i="12" s="1"/>
  <c r="B137" i="12"/>
  <c r="B136" i="10" s="1"/>
  <c r="D136" i="12"/>
  <c r="B136" i="12"/>
  <c r="B135" i="10" s="1"/>
  <c r="D135" i="12"/>
  <c r="B135" i="12"/>
  <c r="B134" i="10" s="1"/>
  <c r="D134" i="12"/>
  <c r="F134" i="12" s="1"/>
  <c r="B134" i="12"/>
  <c r="B133" i="10" s="1"/>
  <c r="D133" i="12"/>
  <c r="F133" i="12" s="1"/>
  <c r="N133" i="12" s="1"/>
  <c r="B133" i="12"/>
  <c r="B132" i="10" s="1"/>
  <c r="D132" i="12"/>
  <c r="F132" i="12" s="1"/>
  <c r="B132" i="12"/>
  <c r="B131" i="10" s="1"/>
  <c r="D131" i="12"/>
  <c r="B131" i="12"/>
  <c r="B130" i="10" s="1"/>
  <c r="D130" i="12"/>
  <c r="B130" i="12"/>
  <c r="B129" i="10" s="1"/>
  <c r="D129" i="12"/>
  <c r="F129" i="12" s="1"/>
  <c r="N129" i="12" s="1"/>
  <c r="B129" i="12"/>
  <c r="B128" i="10" s="1"/>
  <c r="D128" i="12"/>
  <c r="B128" i="12"/>
  <c r="B127" i="10" s="1"/>
  <c r="D127" i="12"/>
  <c r="B127" i="12"/>
  <c r="B126" i="10" s="1"/>
  <c r="D126" i="12"/>
  <c r="E126" i="12" s="1"/>
  <c r="B126" i="12"/>
  <c r="B125" i="10" s="1"/>
  <c r="D125" i="12"/>
  <c r="F125" i="12" s="1"/>
  <c r="N125" i="12" s="1"/>
  <c r="B125" i="12"/>
  <c r="B124" i="10" s="1"/>
  <c r="D124" i="12"/>
  <c r="B124" i="12"/>
  <c r="B123" i="10" s="1"/>
  <c r="D123" i="12"/>
  <c r="F123" i="12" s="1"/>
  <c r="B123" i="12"/>
  <c r="B122" i="10" s="1"/>
  <c r="D122" i="12"/>
  <c r="B122" i="12"/>
  <c r="B121" i="10" s="1"/>
  <c r="D121" i="12"/>
  <c r="F121" i="12" s="1"/>
  <c r="B121" i="12"/>
  <c r="B120" i="10" s="1"/>
  <c r="D120" i="12"/>
  <c r="F120" i="12" s="1"/>
  <c r="B120" i="12"/>
  <c r="B119" i="10" s="1"/>
  <c r="D119" i="12"/>
  <c r="B119" i="12"/>
  <c r="B118" i="10" s="1"/>
  <c r="D118" i="12"/>
  <c r="B118" i="12"/>
  <c r="B117" i="10" s="1"/>
  <c r="D117" i="12"/>
  <c r="B117" i="12"/>
  <c r="B116" i="10" s="1"/>
  <c r="D116" i="12"/>
  <c r="B116" i="12"/>
  <c r="B115" i="10" s="1"/>
  <c r="D115" i="12"/>
  <c r="B115" i="12"/>
  <c r="B114" i="10" s="1"/>
  <c r="D114" i="12"/>
  <c r="F114" i="12" s="1"/>
  <c r="N114" i="12" s="1"/>
  <c r="B114" i="12"/>
  <c r="B113" i="10" s="1"/>
  <c r="D113" i="12"/>
  <c r="B113" i="12"/>
  <c r="B112" i="10" s="1"/>
  <c r="D112" i="12"/>
  <c r="F112" i="12" s="1"/>
  <c r="B112" i="12"/>
  <c r="B111" i="10" s="1"/>
  <c r="D111" i="12"/>
  <c r="B111" i="12"/>
  <c r="B110" i="10" s="1"/>
  <c r="D110" i="12"/>
  <c r="E110" i="12" s="1"/>
  <c r="B110" i="12"/>
  <c r="B109" i="10" s="1"/>
  <c r="D109" i="12"/>
  <c r="B109" i="12"/>
  <c r="B108" i="10" s="1"/>
  <c r="D108" i="12"/>
  <c r="B108" i="12"/>
  <c r="B107" i="10" s="1"/>
  <c r="D107" i="12"/>
  <c r="F107" i="12" s="1"/>
  <c r="B107" i="12"/>
  <c r="B106" i="10" s="1"/>
  <c r="D106" i="12"/>
  <c r="B106" i="12"/>
  <c r="B105" i="10" s="1"/>
  <c r="D105" i="12"/>
  <c r="F105" i="12" s="1"/>
  <c r="B105" i="12"/>
  <c r="B104" i="10" s="1"/>
  <c r="D104" i="12"/>
  <c r="F104" i="12" s="1"/>
  <c r="B104" i="12"/>
  <c r="B103" i="10" s="1"/>
  <c r="D103" i="12"/>
  <c r="B103" i="12"/>
  <c r="B102" i="10" s="1"/>
  <c r="D102" i="12"/>
  <c r="F102" i="12" s="1"/>
  <c r="N102" i="12" s="1"/>
  <c r="B102" i="12"/>
  <c r="B101" i="10" s="1"/>
  <c r="D101" i="12"/>
  <c r="B101" i="12"/>
  <c r="B100" i="10" s="1"/>
  <c r="D100" i="12"/>
  <c r="B100" i="12"/>
  <c r="B99" i="10" s="1"/>
  <c r="D99" i="12"/>
  <c r="B99" i="12"/>
  <c r="B98" i="10" s="1"/>
  <c r="D98" i="12"/>
  <c r="B98" i="12"/>
  <c r="B97" i="10" s="1"/>
  <c r="D97" i="12"/>
  <c r="B97" i="12"/>
  <c r="B96" i="10" s="1"/>
  <c r="D96" i="12"/>
  <c r="F96" i="12" s="1"/>
  <c r="B96" i="12"/>
  <c r="B95" i="10" s="1"/>
  <c r="D95" i="12"/>
  <c r="B95" i="12"/>
  <c r="B94" i="10" s="1"/>
  <c r="D94" i="12"/>
  <c r="E94" i="12" s="1"/>
  <c r="B94" i="12"/>
  <c r="B93" i="10" s="1"/>
  <c r="D93" i="12"/>
  <c r="F93" i="12" s="1"/>
  <c r="G93" i="12" s="1"/>
  <c r="B93" i="12"/>
  <c r="B92" i="10" s="1"/>
  <c r="D92" i="12"/>
  <c r="F92" i="12" s="1"/>
  <c r="B92" i="12"/>
  <c r="B91" i="10" s="1"/>
  <c r="D91" i="12"/>
  <c r="B91" i="12"/>
  <c r="B90" i="10" s="1"/>
  <c r="D90" i="12"/>
  <c r="E90" i="12" s="1"/>
  <c r="B90" i="12"/>
  <c r="B89" i="10" s="1"/>
  <c r="D89" i="12"/>
  <c r="B89" i="12"/>
  <c r="B88" i="10" s="1"/>
  <c r="D88" i="12"/>
  <c r="F88" i="12" s="1"/>
  <c r="B88" i="12"/>
  <c r="B87" i="10" s="1"/>
  <c r="D87" i="12"/>
  <c r="B87" i="12"/>
  <c r="B86" i="10" s="1"/>
  <c r="D86" i="12"/>
  <c r="E86" i="12" s="1"/>
  <c r="B86" i="12"/>
  <c r="B85" i="10" s="1"/>
  <c r="D85" i="12"/>
  <c r="F85" i="12" s="1"/>
  <c r="G85" i="12" s="1"/>
  <c r="B85" i="12"/>
  <c r="B84" i="10" s="1"/>
  <c r="D84" i="12"/>
  <c r="B84" i="12"/>
  <c r="B83" i="10" s="1"/>
  <c r="D83" i="12"/>
  <c r="B83" i="12"/>
  <c r="B82" i="10" s="1"/>
  <c r="D82" i="12"/>
  <c r="E82" i="12" s="1"/>
  <c r="B82" i="12"/>
  <c r="B81" i="10" s="1"/>
  <c r="D81" i="12"/>
  <c r="F81" i="12" s="1"/>
  <c r="B81" i="12"/>
  <c r="B80" i="10" s="1"/>
  <c r="D80" i="12"/>
  <c r="B80" i="12"/>
  <c r="B79" i="10" s="1"/>
  <c r="D79" i="12"/>
  <c r="B79" i="12"/>
  <c r="B78" i="10" s="1"/>
  <c r="D78" i="12"/>
  <c r="E78" i="12" s="1"/>
  <c r="B78" i="12"/>
  <c r="B77" i="10" s="1"/>
  <c r="D77" i="12"/>
  <c r="F77" i="12" s="1"/>
  <c r="B77" i="12"/>
  <c r="B76" i="10" s="1"/>
  <c r="D76" i="12"/>
  <c r="B76" i="12"/>
  <c r="B75" i="10" s="1"/>
  <c r="D75" i="12"/>
  <c r="E75" i="12" s="1"/>
  <c r="B75" i="12"/>
  <c r="B74" i="10" s="1"/>
  <c r="D74" i="12"/>
  <c r="E74" i="12" s="1"/>
  <c r="B74" i="12"/>
  <c r="B73" i="10" s="1"/>
  <c r="D73" i="12"/>
  <c r="F73" i="12" s="1"/>
  <c r="N73" i="12" s="1"/>
  <c r="B73" i="12"/>
  <c r="B72" i="10" s="1"/>
  <c r="D72" i="12"/>
  <c r="B72" i="12"/>
  <c r="B71" i="10" s="1"/>
  <c r="D71" i="12"/>
  <c r="B71" i="12"/>
  <c r="B70" i="10" s="1"/>
  <c r="D70" i="12"/>
  <c r="F70" i="12" s="1"/>
  <c r="G70" i="12" s="1"/>
  <c r="B70" i="12"/>
  <c r="B69" i="10" s="1"/>
  <c r="D69" i="12"/>
  <c r="F69" i="12" s="1"/>
  <c r="B69" i="12"/>
  <c r="B68" i="10" s="1"/>
  <c r="D68" i="12"/>
  <c r="B68" i="12"/>
  <c r="B67" i="10" s="1"/>
  <c r="D67" i="12"/>
  <c r="E67" i="12" s="1"/>
  <c r="B67" i="12"/>
  <c r="B66" i="10" s="1"/>
  <c r="D66" i="12"/>
  <c r="E66" i="12" s="1"/>
  <c r="B66" i="12"/>
  <c r="B65" i="10" s="1"/>
  <c r="D65" i="12"/>
  <c r="F65" i="12" s="1"/>
  <c r="J65" i="12" s="1"/>
  <c r="B65" i="12"/>
  <c r="B64" i="10" s="1"/>
  <c r="D64" i="12"/>
  <c r="B64" i="12"/>
  <c r="B63" i="10" s="1"/>
  <c r="D63" i="12"/>
  <c r="E63" i="12" s="1"/>
  <c r="B63" i="12"/>
  <c r="B62" i="10" s="1"/>
  <c r="D62" i="12"/>
  <c r="E62" i="12" s="1"/>
  <c r="B62" i="12"/>
  <c r="B61" i="10" s="1"/>
  <c r="D61" i="12"/>
  <c r="E61" i="12" s="1"/>
  <c r="B61" i="12"/>
  <c r="B60" i="10" s="1"/>
  <c r="D60" i="12"/>
  <c r="E60" i="12" s="1"/>
  <c r="B60" i="12"/>
  <c r="B59" i="10" s="1"/>
  <c r="D59" i="12"/>
  <c r="B59" i="12"/>
  <c r="B58" i="10" s="1"/>
  <c r="D58" i="12"/>
  <c r="B58" i="12"/>
  <c r="B57" i="10" s="1"/>
  <c r="D57" i="12"/>
  <c r="E57" i="12" s="1"/>
  <c r="B57" i="12"/>
  <c r="B56" i="10" s="1"/>
  <c r="D56" i="12"/>
  <c r="F56" i="12" s="1"/>
  <c r="N56" i="12" s="1"/>
  <c r="B56" i="12"/>
  <c r="B55" i="10" s="1"/>
  <c r="D55" i="12"/>
  <c r="B55" i="12"/>
  <c r="B54" i="10" s="1"/>
  <c r="D54" i="12"/>
  <c r="B54" i="12"/>
  <c r="B53" i="10" s="1"/>
  <c r="D53" i="12"/>
  <c r="E53" i="12" s="1"/>
  <c r="B53" i="12"/>
  <c r="B52" i="10" s="1"/>
  <c r="D52" i="12"/>
  <c r="F52" i="12" s="1"/>
  <c r="N52" i="12" s="1"/>
  <c r="B52" i="12"/>
  <c r="B51" i="10" s="1"/>
  <c r="D51" i="12"/>
  <c r="B51" i="12"/>
  <c r="B50" i="10" s="1"/>
  <c r="D50" i="12"/>
  <c r="B50" i="12"/>
  <c r="B49" i="10" s="1"/>
  <c r="D49" i="12"/>
  <c r="E49" i="12" s="1"/>
  <c r="B49" i="12"/>
  <c r="B48" i="10" s="1"/>
  <c r="D48" i="12"/>
  <c r="E48" i="12" s="1"/>
  <c r="B48" i="12"/>
  <c r="B47" i="10" s="1"/>
  <c r="D47" i="12"/>
  <c r="F47" i="12" s="1"/>
  <c r="N47" i="12" s="1"/>
  <c r="B47" i="12"/>
  <c r="B46" i="10" s="1"/>
  <c r="D46" i="12"/>
  <c r="B46" i="12"/>
  <c r="B45" i="10" s="1"/>
  <c r="D45" i="12"/>
  <c r="E45" i="12" s="1"/>
  <c r="B45" i="12"/>
  <c r="B44" i="10" s="1"/>
  <c r="D44" i="12"/>
  <c r="F44" i="12" s="1"/>
  <c r="N44" i="12" s="1"/>
  <c r="B44" i="12"/>
  <c r="B43" i="10" s="1"/>
  <c r="D43" i="12"/>
  <c r="F43" i="12" s="1"/>
  <c r="B43" i="12"/>
  <c r="B42" i="10" s="1"/>
  <c r="D42" i="12"/>
  <c r="B42" i="12"/>
  <c r="B41" i="10" s="1"/>
  <c r="D41" i="12"/>
  <c r="E41" i="12" s="1"/>
  <c r="B41" i="12"/>
  <c r="B40" i="10" s="1"/>
  <c r="D40" i="12"/>
  <c r="E40" i="12" s="1"/>
  <c r="B40" i="12"/>
  <c r="B39" i="10" s="1"/>
  <c r="D39" i="12"/>
  <c r="F39" i="12" s="1"/>
  <c r="N39" i="12" s="1"/>
  <c r="B39" i="12"/>
  <c r="B38" i="10" s="1"/>
  <c r="D38" i="12"/>
  <c r="B38" i="12"/>
  <c r="B37" i="10" s="1"/>
  <c r="D37" i="12"/>
  <c r="E37" i="12" s="1"/>
  <c r="B37" i="12"/>
  <c r="B36" i="10" s="1"/>
  <c r="D36" i="12"/>
  <c r="F36" i="12" s="1"/>
  <c r="N36" i="12" s="1"/>
  <c r="B36" i="12"/>
  <c r="B35" i="10" s="1"/>
  <c r="D35" i="12"/>
  <c r="F35" i="12" s="1"/>
  <c r="N35" i="12" s="1"/>
  <c r="B35" i="12"/>
  <c r="B34" i="10" s="1"/>
  <c r="D34" i="12"/>
  <c r="B34" i="12"/>
  <c r="B33" i="10" s="1"/>
  <c r="D33" i="12"/>
  <c r="E33" i="12" s="1"/>
  <c r="B33" i="12"/>
  <c r="B32" i="10" s="1"/>
  <c r="D32" i="12"/>
  <c r="E32" i="12" s="1"/>
  <c r="B32" i="12"/>
  <c r="B31" i="10" s="1"/>
  <c r="D31" i="12"/>
  <c r="F31" i="12" s="1"/>
  <c r="N31" i="12" s="1"/>
  <c r="B31" i="12"/>
  <c r="B30" i="10" s="1"/>
  <c r="D30" i="12"/>
  <c r="B30" i="12"/>
  <c r="B29" i="10" s="1"/>
  <c r="D29" i="12"/>
  <c r="E29" i="12" s="1"/>
  <c r="B29" i="12"/>
  <c r="B28" i="10" s="1"/>
  <c r="D28" i="12"/>
  <c r="F28" i="12" s="1"/>
  <c r="N28" i="12" s="1"/>
  <c r="B28" i="12"/>
  <c r="B27" i="10" s="1"/>
  <c r="D27" i="12"/>
  <c r="F27" i="12" s="1"/>
  <c r="G27" i="12" s="1"/>
  <c r="B27" i="12"/>
  <c r="B26" i="10" s="1"/>
  <c r="D26" i="12"/>
  <c r="B26" i="12"/>
  <c r="B25" i="10" s="1"/>
  <c r="D25" i="12"/>
  <c r="E25" i="12" s="1"/>
  <c r="B25" i="12"/>
  <c r="B24" i="10" s="1"/>
  <c r="D24" i="12"/>
  <c r="F24" i="12" s="1"/>
  <c r="G24" i="12" s="1"/>
  <c r="B24" i="12"/>
  <c r="B23" i="10" s="1"/>
  <c r="D23" i="12"/>
  <c r="F23" i="12" s="1"/>
  <c r="G23" i="12" s="1"/>
  <c r="B23" i="12"/>
  <c r="B22" i="10" s="1"/>
  <c r="D22" i="12"/>
  <c r="B22" i="12"/>
  <c r="B21" i="10" s="1"/>
  <c r="D21" i="12"/>
  <c r="P21" i="12" s="1"/>
  <c r="B21" i="12"/>
  <c r="B20" i="10" s="1"/>
  <c r="D20" i="12"/>
  <c r="M20" i="12" s="1"/>
  <c r="B20" i="12"/>
  <c r="B19" i="10" s="1"/>
  <c r="D19" i="12"/>
  <c r="L19" i="12" s="1"/>
  <c r="B19" i="12"/>
  <c r="B18" i="10" s="1"/>
  <c r="D18" i="12"/>
  <c r="B18" i="12"/>
  <c r="B17" i="10" s="1"/>
  <c r="D17" i="12"/>
  <c r="F17" i="12" s="1"/>
  <c r="G17" i="12" s="1"/>
  <c r="B17" i="12"/>
  <c r="B16" i="10" s="1"/>
  <c r="D16" i="12"/>
  <c r="F16" i="12" s="1"/>
  <c r="B16" i="12"/>
  <c r="B15" i="10" s="1"/>
  <c r="D15" i="12"/>
  <c r="B15" i="12"/>
  <c r="B14" i="10" s="1"/>
  <c r="D14" i="12"/>
  <c r="E14" i="12" s="1"/>
  <c r="B14" i="12"/>
  <c r="B13" i="10" s="1"/>
  <c r="D13" i="12"/>
  <c r="F13" i="12" s="1"/>
  <c r="B13" i="12"/>
  <c r="B12" i="10" s="1"/>
  <c r="D12" i="12"/>
  <c r="F12" i="12" s="1"/>
  <c r="J12" i="12" s="1"/>
  <c r="B12" i="12"/>
  <c r="B11" i="10" s="1"/>
  <c r="D11" i="12"/>
  <c r="B11" i="12"/>
  <c r="B10" i="10" s="1"/>
  <c r="D10" i="12"/>
  <c r="P10" i="12" s="1"/>
  <c r="B10" i="12"/>
  <c r="B9" i="10" s="1"/>
  <c r="D9" i="12"/>
  <c r="P9" i="12" s="1"/>
  <c r="B9" i="12"/>
  <c r="B8" i="10" s="1"/>
  <c r="D8" i="12"/>
  <c r="M8" i="12" s="1"/>
  <c r="B8" i="12"/>
  <c r="B7" i="10" s="1"/>
  <c r="D7" i="12"/>
  <c r="L7" i="12" s="1"/>
  <c r="B7" i="12"/>
  <c r="B6" i="10" s="1"/>
  <c r="D6" i="12"/>
  <c r="P6" i="12" s="1"/>
  <c r="B6" i="12"/>
  <c r="B5" i="10" s="1"/>
  <c r="D5" i="12"/>
  <c r="P5" i="12" s="1"/>
  <c r="B5" i="12"/>
  <c r="B4" i="10" s="1"/>
  <c r="D4" i="12"/>
  <c r="M4" i="12" s="1"/>
  <c r="B4" i="12"/>
  <c r="B3" i="10" s="1"/>
  <c r="D3" i="12"/>
  <c r="L3" i="12" s="1"/>
  <c r="B3" i="12"/>
  <c r="B2" i="10" s="1"/>
  <c r="B317" i="10"/>
  <c r="B310" i="10"/>
  <c r="B301" i="10"/>
  <c r="A3" i="7"/>
  <c r="A4" i="7" s="1"/>
  <c r="A5" i="7" s="1"/>
  <c r="A6" i="7" s="1"/>
  <c r="A7" i="7" s="1"/>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2" i="7" s="1"/>
  <c r="A33" i="7" s="1"/>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 i="5"/>
  <c r="A4" i="5" s="1"/>
  <c r="A5" i="5" s="1"/>
  <c r="A6" i="5" s="1"/>
  <c r="A7" i="5" s="1"/>
  <c r="A8" i="5" s="1"/>
  <c r="A9" i="5" s="1"/>
  <c r="A10" i="5" s="1"/>
  <c r="A11" i="5" s="1"/>
  <c r="A12" i="5" s="1"/>
  <c r="A13" i="5" s="1"/>
  <c r="A14" i="5" s="1"/>
  <c r="A15" i="5" s="1"/>
  <c r="A16" i="5" s="1"/>
  <c r="A17" i="5" s="1"/>
  <c r="A18" i="5" s="1"/>
  <c r="A19" i="5" s="1"/>
  <c r="A20" i="5" s="1"/>
  <c r="A21" i="5" s="1"/>
  <c r="A22" i="5" s="1"/>
  <c r="A23" i="5" s="1"/>
  <c r="A24" i="5" s="1"/>
  <c r="A25" i="5" s="1"/>
  <c r="A26" i="5" s="1"/>
  <c r="A27" i="5" s="1"/>
  <c r="A28" i="5" s="1"/>
  <c r="A29" i="5" s="1"/>
  <c r="A30" i="5" s="1"/>
  <c r="A31" i="5" s="1"/>
  <c r="A32" i="5" s="1"/>
  <c r="A33" i="5" s="1"/>
  <c r="A3" i="1"/>
  <c r="A4" i="1" s="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3" i="3"/>
  <c r="A4" i="3" s="1"/>
  <c r="A5" i="3" s="1"/>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 i="9"/>
  <c r="A4" i="9" s="1"/>
  <c r="A5" i="9" s="1"/>
  <c r="A6" i="9" s="1"/>
  <c r="A7" i="9" s="1"/>
  <c r="A8" i="9" s="1"/>
  <c r="A9" i="9" s="1"/>
  <c r="A10" i="9" s="1"/>
  <c r="A11" i="9" s="1"/>
  <c r="A12" i="9" s="1"/>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5" i="9" s="1"/>
  <c r="A66" i="9" s="1"/>
  <c r="A67" i="9" s="1"/>
  <c r="A68" i="9" s="1"/>
  <c r="A69" i="9" s="1"/>
  <c r="A70" i="9" s="1"/>
  <c r="A71" i="9" s="1"/>
  <c r="A72" i="9" s="1"/>
  <c r="A73" i="9" s="1"/>
  <c r="A74" i="9" s="1"/>
  <c r="A75" i="9" s="1"/>
  <c r="A76" i="9" s="1"/>
  <c r="A77" i="9" s="1"/>
  <c r="A78" i="9" s="1"/>
  <c r="A3" i="13"/>
  <c r="B3" i="13" l="1"/>
  <c r="C4" i="12" s="1"/>
  <c r="C3" i="10" s="1"/>
  <c r="B2" i="13"/>
  <c r="C3" i="12" s="1"/>
  <c r="C2" i="10" s="1"/>
  <c r="H223" i="12"/>
  <c r="I223" i="12" s="1"/>
  <c r="K227" i="12"/>
  <c r="O225" i="12"/>
  <c r="H225" i="12"/>
  <c r="K225" i="12"/>
  <c r="I227" i="12"/>
  <c r="Q227" i="12" s="1"/>
  <c r="P227" i="12"/>
  <c r="L227" i="12"/>
  <c r="O227" i="12"/>
  <c r="P224" i="12"/>
  <c r="L224" i="12"/>
  <c r="I224" i="12"/>
  <c r="O228" i="12"/>
  <c r="K228" i="12"/>
  <c r="H228" i="12"/>
  <c r="P223" i="12"/>
  <c r="L223" i="12"/>
  <c r="O223" i="12"/>
  <c r="K223" i="12"/>
  <c r="O224" i="12"/>
  <c r="K224" i="12"/>
  <c r="Q226" i="12"/>
  <c r="R226" i="12" s="1"/>
  <c r="M226" i="12"/>
  <c r="E242" i="12"/>
  <c r="G92" i="12"/>
  <c r="H92" i="12" s="1"/>
  <c r="P92" i="12" s="1"/>
  <c r="E304" i="12"/>
  <c r="F74" i="12"/>
  <c r="G74" i="12" s="1"/>
  <c r="H74" i="12" s="1"/>
  <c r="I74" i="12" s="1"/>
  <c r="Q74" i="12" s="1"/>
  <c r="E246" i="12"/>
  <c r="E329" i="12"/>
  <c r="G246" i="12"/>
  <c r="O246" i="12" s="1"/>
  <c r="L10" i="12"/>
  <c r="E258" i="12"/>
  <c r="E36" i="12"/>
  <c r="E120" i="12"/>
  <c r="G120" i="12"/>
  <c r="K120" i="12" s="1"/>
  <c r="E96" i="12"/>
  <c r="F193" i="12"/>
  <c r="J193" i="12" s="1"/>
  <c r="E207" i="12"/>
  <c r="P173" i="12"/>
  <c r="E164" i="12"/>
  <c r="C3" i="2"/>
  <c r="B4" i="2" s="1"/>
  <c r="B2" i="9" s="1"/>
  <c r="C19" i="12" s="1"/>
  <c r="C18" i="10" s="1"/>
  <c r="F78" i="12"/>
  <c r="G78" i="12" s="1"/>
  <c r="K78" i="12" s="1"/>
  <c r="E195" i="12"/>
  <c r="E215" i="12"/>
  <c r="K267" i="12"/>
  <c r="K268" i="12"/>
  <c r="K269" i="12"/>
  <c r="E294" i="12"/>
  <c r="L300" i="12"/>
  <c r="E317" i="12"/>
  <c r="G166" i="12"/>
  <c r="O166" i="12" s="1"/>
  <c r="G215" i="12"/>
  <c r="O215" i="12" s="1"/>
  <c r="O267" i="12"/>
  <c r="O268" i="12"/>
  <c r="O269" i="12"/>
  <c r="L6" i="12"/>
  <c r="E13" i="12"/>
  <c r="E52" i="12"/>
  <c r="E156" i="12"/>
  <c r="E166" i="12"/>
  <c r="L176" i="12"/>
  <c r="F209" i="12"/>
  <c r="N209" i="12" s="1"/>
  <c r="N134" i="12"/>
  <c r="G134" i="12"/>
  <c r="O134" i="12" s="1"/>
  <c r="N150" i="12"/>
  <c r="G150" i="12"/>
  <c r="O150" i="12" s="1"/>
  <c r="G65" i="12"/>
  <c r="K65" i="12" s="1"/>
  <c r="F82" i="12"/>
  <c r="N82" i="12" s="1"/>
  <c r="F94" i="12"/>
  <c r="N94" i="12" s="1"/>
  <c r="E104" i="12"/>
  <c r="E112" i="12"/>
  <c r="E132" i="12"/>
  <c r="G193" i="12"/>
  <c r="K193" i="12" s="1"/>
  <c r="E211" i="12"/>
  <c r="J236" i="12"/>
  <c r="P236" i="12"/>
  <c r="E244" i="12"/>
  <c r="E266" i="12"/>
  <c r="J270" i="12"/>
  <c r="E271" i="12"/>
  <c r="E278" i="12"/>
  <c r="N280" i="12"/>
  <c r="E288" i="12"/>
  <c r="E292" i="12"/>
  <c r="G303" i="12"/>
  <c r="O303" i="12" s="1"/>
  <c r="G307" i="12"/>
  <c r="K307" i="12" s="1"/>
  <c r="E325" i="12"/>
  <c r="O236" i="12"/>
  <c r="F62" i="12"/>
  <c r="J62" i="12" s="1"/>
  <c r="G69" i="12"/>
  <c r="O69" i="12" s="1"/>
  <c r="E70" i="12"/>
  <c r="F86" i="12"/>
  <c r="N86" i="12" s="1"/>
  <c r="E134" i="12"/>
  <c r="E150" i="12"/>
  <c r="K171" i="12"/>
  <c r="J172" i="12"/>
  <c r="K173" i="12"/>
  <c r="F198" i="12"/>
  <c r="J198" i="12" s="1"/>
  <c r="E219" i="12"/>
  <c r="L235" i="12"/>
  <c r="K236" i="12"/>
  <c r="G242" i="12"/>
  <c r="O242" i="12" s="1"/>
  <c r="E256" i="12"/>
  <c r="F271" i="12"/>
  <c r="N271" i="12" s="1"/>
  <c r="E276" i="12"/>
  <c r="G278" i="12"/>
  <c r="K278" i="12" s="1"/>
  <c r="G280" i="12"/>
  <c r="H280" i="12" s="1"/>
  <c r="G284" i="12"/>
  <c r="K284" i="12" s="1"/>
  <c r="J307" i="12"/>
  <c r="E321" i="12"/>
  <c r="L172" i="12"/>
  <c r="L173" i="12"/>
  <c r="L236" i="12"/>
  <c r="E280" i="12"/>
  <c r="E284" i="12"/>
  <c r="N16" i="12"/>
  <c r="J16" i="12"/>
  <c r="G13" i="12"/>
  <c r="H13" i="12" s="1"/>
  <c r="I13" i="12" s="1"/>
  <c r="J13" i="12"/>
  <c r="F64" i="12"/>
  <c r="G64" i="12" s="1"/>
  <c r="O64" i="12" s="1"/>
  <c r="N69" i="12"/>
  <c r="J69" i="12"/>
  <c r="F100" i="12"/>
  <c r="G100" i="12" s="1"/>
  <c r="E100" i="12"/>
  <c r="E106" i="12"/>
  <c r="E118" i="12"/>
  <c r="E122" i="12"/>
  <c r="E138" i="12"/>
  <c r="F152" i="12"/>
  <c r="N152" i="12" s="1"/>
  <c r="E152" i="12"/>
  <c r="F203" i="12"/>
  <c r="N203" i="12" s="1"/>
  <c r="E203" i="12"/>
  <c r="F229" i="12"/>
  <c r="G229" i="12" s="1"/>
  <c r="E229" i="12"/>
  <c r="F240" i="12"/>
  <c r="G240" i="12" s="1"/>
  <c r="K240" i="12" s="1"/>
  <c r="E240" i="12"/>
  <c r="G276" i="12"/>
  <c r="K276" i="12" s="1"/>
  <c r="N276" i="12"/>
  <c r="N292" i="12"/>
  <c r="G292" i="12"/>
  <c r="H292" i="12" s="1"/>
  <c r="G295" i="12"/>
  <c r="O295" i="12" s="1"/>
  <c r="J295" i="12"/>
  <c r="M3" i="12"/>
  <c r="P4" i="12"/>
  <c r="E17" i="12"/>
  <c r="J85" i="12"/>
  <c r="F90" i="12"/>
  <c r="E102" i="12"/>
  <c r="G102" i="12"/>
  <c r="O102" i="12" s="1"/>
  <c r="F106" i="12"/>
  <c r="E114" i="12"/>
  <c r="G114" i="12"/>
  <c r="K114" i="12" s="1"/>
  <c r="F118" i="12"/>
  <c r="N118" i="12" s="1"/>
  <c r="F122" i="12"/>
  <c r="F128" i="12"/>
  <c r="N128" i="12" s="1"/>
  <c r="E128" i="12"/>
  <c r="F138" i="12"/>
  <c r="N138" i="12" s="1"/>
  <c r="G154" i="12"/>
  <c r="O154" i="12" s="1"/>
  <c r="E154" i="12"/>
  <c r="F160" i="12"/>
  <c r="J160" i="12" s="1"/>
  <c r="E160" i="12"/>
  <c r="F169" i="12"/>
  <c r="G169" i="12" s="1"/>
  <c r="F197" i="12"/>
  <c r="E197" i="12"/>
  <c r="F217" i="12"/>
  <c r="J217" i="12" s="1"/>
  <c r="E217" i="12"/>
  <c r="Q237" i="12"/>
  <c r="L237" i="12"/>
  <c r="P237" i="12"/>
  <c r="K237" i="12"/>
  <c r="O237" i="12"/>
  <c r="J237" i="12"/>
  <c r="F252" i="12"/>
  <c r="J252" i="12" s="1"/>
  <c r="E252" i="12"/>
  <c r="F262" i="12"/>
  <c r="G262" i="12" s="1"/>
  <c r="K262" i="12" s="1"/>
  <c r="E262" i="12"/>
  <c r="F264" i="12"/>
  <c r="N264" i="12" s="1"/>
  <c r="E264" i="12"/>
  <c r="F274" i="12"/>
  <c r="G274" i="12" s="1"/>
  <c r="K274" i="12" s="1"/>
  <c r="F313" i="12"/>
  <c r="J313" i="12" s="1"/>
  <c r="E313" i="12"/>
  <c r="G325" i="12"/>
  <c r="O325" i="12" s="1"/>
  <c r="J325" i="12"/>
  <c r="E162" i="12"/>
  <c r="G162" i="12"/>
  <c r="Q171" i="12"/>
  <c r="P171" i="12"/>
  <c r="J171" i="12"/>
  <c r="L171" i="12"/>
  <c r="N202" i="12"/>
  <c r="J202" i="12"/>
  <c r="F213" i="12"/>
  <c r="N213" i="12" s="1"/>
  <c r="E213" i="12"/>
  <c r="N230" i="12"/>
  <c r="J230" i="12"/>
  <c r="F233" i="12"/>
  <c r="N233" i="12" s="1"/>
  <c r="E233" i="12"/>
  <c r="N259" i="12"/>
  <c r="J259" i="12"/>
  <c r="F282" i="12"/>
  <c r="G282" i="12" s="1"/>
  <c r="H282" i="12" s="1"/>
  <c r="E282" i="12"/>
  <c r="F308" i="12"/>
  <c r="G308" i="12" s="1"/>
  <c r="K308" i="12" s="1"/>
  <c r="E308" i="12"/>
  <c r="F330" i="12"/>
  <c r="N330" i="12" s="1"/>
  <c r="E330" i="12"/>
  <c r="P3" i="12"/>
  <c r="N77" i="12"/>
  <c r="J77" i="12"/>
  <c r="G81" i="12"/>
  <c r="H81" i="12" s="1"/>
  <c r="J81" i="12"/>
  <c r="E98" i="12"/>
  <c r="F108" i="12"/>
  <c r="G108" i="12" s="1"/>
  <c r="O108" i="12" s="1"/>
  <c r="E108" i="12"/>
  <c r="F124" i="12"/>
  <c r="N124" i="12" s="1"/>
  <c r="E124" i="12"/>
  <c r="E130" i="12"/>
  <c r="B3" i="9"/>
  <c r="C20" i="12" s="1"/>
  <c r="C19" i="10" s="1"/>
  <c r="P8" i="12"/>
  <c r="F66" i="12"/>
  <c r="G66" i="12" s="1"/>
  <c r="H66" i="12" s="1"/>
  <c r="G77" i="12"/>
  <c r="H77" i="12" s="1"/>
  <c r="I77" i="12" s="1"/>
  <c r="N81" i="12"/>
  <c r="F98" i="12"/>
  <c r="N98" i="12" s="1"/>
  <c r="F116" i="12"/>
  <c r="G116" i="12" s="1"/>
  <c r="O116" i="12" s="1"/>
  <c r="E116" i="12"/>
  <c r="F130" i="12"/>
  <c r="N130" i="12" s="1"/>
  <c r="F136" i="12"/>
  <c r="N136" i="12" s="1"/>
  <c r="E136" i="12"/>
  <c r="Q174" i="12"/>
  <c r="P174" i="12"/>
  <c r="L174" i="12"/>
  <c r="K174" i="12"/>
  <c r="F191" i="12"/>
  <c r="G191" i="12" s="1"/>
  <c r="K191" i="12" s="1"/>
  <c r="E191" i="12"/>
  <c r="G201" i="12"/>
  <c r="N216" i="12"/>
  <c r="J216" i="12"/>
  <c r="F248" i="12"/>
  <c r="E248" i="12"/>
  <c r="J251" i="12"/>
  <c r="N251" i="12"/>
  <c r="F253" i="12"/>
  <c r="G253" i="12" s="1"/>
  <c r="E253" i="12"/>
  <c r="N256" i="12"/>
  <c r="G256" i="12"/>
  <c r="N263" i="12"/>
  <c r="J263" i="12"/>
  <c r="N288" i="12"/>
  <c r="G288" i="12"/>
  <c r="K288" i="12" s="1"/>
  <c r="N312" i="12"/>
  <c r="J312" i="12"/>
  <c r="G312" i="12"/>
  <c r="K312" i="12" s="1"/>
  <c r="P172" i="12"/>
  <c r="P235" i="12"/>
  <c r="N244" i="12"/>
  <c r="E260" i="12"/>
  <c r="E286" i="12"/>
  <c r="E290" i="12"/>
  <c r="E296" i="12"/>
  <c r="J317" i="12"/>
  <c r="F320" i="12"/>
  <c r="F328" i="12"/>
  <c r="G104" i="12"/>
  <c r="O104" i="12" s="1"/>
  <c r="F110" i="12"/>
  <c r="J110" i="12" s="1"/>
  <c r="F126" i="12"/>
  <c r="J126" i="12" s="1"/>
  <c r="F158" i="12"/>
  <c r="J158" i="12" s="1"/>
  <c r="K172" i="12"/>
  <c r="L177" i="12"/>
  <c r="G195" i="12"/>
  <c r="H195" i="12" s="1"/>
  <c r="I195" i="12" s="1"/>
  <c r="E201" i="12"/>
  <c r="F205" i="12"/>
  <c r="J205" i="12" s="1"/>
  <c r="G211" i="12"/>
  <c r="O211" i="12" s="1"/>
  <c r="F221" i="12"/>
  <c r="J221" i="12" s="1"/>
  <c r="F231" i="12"/>
  <c r="J231" i="12" s="1"/>
  <c r="K235" i="12"/>
  <c r="N236" i="12"/>
  <c r="F260" i="12"/>
  <c r="G290" i="12"/>
  <c r="H290" i="12" s="1"/>
  <c r="H304" i="12"/>
  <c r="I304" i="12" s="1"/>
  <c r="M304" i="12" s="1"/>
  <c r="J304" i="12"/>
  <c r="H317" i="12"/>
  <c r="L317" i="12" s="1"/>
  <c r="N235" i="12"/>
  <c r="J235" i="12"/>
  <c r="O235" i="12"/>
  <c r="E238" i="12"/>
  <c r="F238" i="12"/>
  <c r="N238" i="12" s="1"/>
  <c r="G31" i="12"/>
  <c r="H31" i="12" s="1"/>
  <c r="F32" i="12"/>
  <c r="N32" i="12" s="1"/>
  <c r="F51" i="12"/>
  <c r="N51" i="12" s="1"/>
  <c r="E56" i="12"/>
  <c r="E28" i="12"/>
  <c r="G39" i="12"/>
  <c r="O39" i="12" s="1"/>
  <c r="F40" i="12"/>
  <c r="N40" i="12" s="1"/>
  <c r="G47" i="12"/>
  <c r="K47" i="12" s="1"/>
  <c r="F48" i="12"/>
  <c r="N48" i="12" s="1"/>
  <c r="G35" i="12"/>
  <c r="O35" i="12" s="1"/>
  <c r="M19" i="12"/>
  <c r="P20" i="12"/>
  <c r="P19" i="12"/>
  <c r="H24" i="12"/>
  <c r="I24" i="12" s="1"/>
  <c r="J24" i="12"/>
  <c r="E24" i="12"/>
  <c r="F181" i="12"/>
  <c r="N181" i="12" s="1"/>
  <c r="G184" i="12"/>
  <c r="K184" i="12" s="1"/>
  <c r="J179" i="12"/>
  <c r="O179" i="12"/>
  <c r="E180" i="12"/>
  <c r="E184" i="12"/>
  <c r="E189" i="12"/>
  <c r="K179" i="12"/>
  <c r="P179" i="12"/>
  <c r="F180" i="12"/>
  <c r="L179" i="12"/>
  <c r="E185" i="12"/>
  <c r="N179" i="12"/>
  <c r="N177" i="12"/>
  <c r="O177" i="12"/>
  <c r="N176" i="12"/>
  <c r="N173" i="12"/>
  <c r="N174" i="12"/>
  <c r="J176" i="12"/>
  <c r="O176" i="12"/>
  <c r="J177" i="12"/>
  <c r="N171" i="12"/>
  <c r="O172" i="12"/>
  <c r="J173" i="12"/>
  <c r="O173" i="12"/>
  <c r="J174" i="12"/>
  <c r="O174" i="12"/>
  <c r="L175" i="12"/>
  <c r="K176" i="12"/>
  <c r="P176" i="12"/>
  <c r="K177" i="12"/>
  <c r="P177" i="12"/>
  <c r="M6" i="12"/>
  <c r="M10" i="12"/>
  <c r="N43" i="12"/>
  <c r="G43" i="12"/>
  <c r="O43" i="12" s="1"/>
  <c r="N175" i="12"/>
  <c r="J175" i="12"/>
  <c r="O175" i="12"/>
  <c r="K175" i="12"/>
  <c r="P175" i="12"/>
  <c r="J178" i="12"/>
  <c r="O178" i="12"/>
  <c r="K178" i="12"/>
  <c r="P178" i="12"/>
  <c r="L178" i="12"/>
  <c r="N178" i="12"/>
  <c r="N172" i="12"/>
  <c r="J188" i="12"/>
  <c r="N188" i="12"/>
  <c r="G188" i="12"/>
  <c r="K188" i="12" s="1"/>
  <c r="F55" i="12"/>
  <c r="N55" i="12" s="1"/>
  <c r="F60" i="12"/>
  <c r="N60" i="12" s="1"/>
  <c r="F59" i="12"/>
  <c r="N59" i="12" s="1"/>
  <c r="E148" i="12"/>
  <c r="E146" i="12"/>
  <c r="G146" i="12"/>
  <c r="O146" i="12" s="1"/>
  <c r="E144" i="12"/>
  <c r="P7" i="12"/>
  <c r="M7" i="12"/>
  <c r="E44" i="12"/>
  <c r="B6" i="9"/>
  <c r="C23" i="12" s="1"/>
  <c r="C22" i="10" s="1"/>
  <c r="B14" i="9"/>
  <c r="C31" i="12" s="1"/>
  <c r="C30" i="10" s="1"/>
  <c r="B22" i="9"/>
  <c r="C39" i="12" s="1"/>
  <c r="C38" i="10" s="1"/>
  <c r="B30" i="9"/>
  <c r="C47" i="12" s="1"/>
  <c r="C46" i="10" s="1"/>
  <c r="B34" i="9"/>
  <c r="C51" i="12" s="1"/>
  <c r="C50" i="10" s="1"/>
  <c r="B42" i="9"/>
  <c r="C59" i="12" s="1"/>
  <c r="C58" i="10" s="1"/>
  <c r="B46" i="9"/>
  <c r="C63" i="12" s="1"/>
  <c r="C62" i="10" s="1"/>
  <c r="B50" i="9"/>
  <c r="C67" i="12" s="1"/>
  <c r="C66" i="10" s="1"/>
  <c r="B54" i="9"/>
  <c r="C71" i="12" s="1"/>
  <c r="C70" i="10" s="1"/>
  <c r="B58" i="9"/>
  <c r="C75" i="12" s="1"/>
  <c r="C74" i="10" s="1"/>
  <c r="C79" i="12"/>
  <c r="C78" i="10" s="1"/>
  <c r="C83" i="12"/>
  <c r="C82" i="10" s="1"/>
  <c r="C87" i="12"/>
  <c r="C86" i="10" s="1"/>
  <c r="B74" i="9"/>
  <c r="C91" i="12" s="1"/>
  <c r="C90" i="10" s="1"/>
  <c r="A4" i="13"/>
  <c r="B7" i="9"/>
  <c r="C24" i="12" s="1"/>
  <c r="C23" i="10" s="1"/>
  <c r="B11" i="9"/>
  <c r="C28" i="12" s="1"/>
  <c r="C27" i="10" s="1"/>
  <c r="B15" i="9"/>
  <c r="C32" i="12" s="1"/>
  <c r="C31" i="10" s="1"/>
  <c r="B19" i="9"/>
  <c r="C36" i="12" s="1"/>
  <c r="C35" i="10" s="1"/>
  <c r="B23" i="9"/>
  <c r="C40" i="12" s="1"/>
  <c r="C39" i="10" s="1"/>
  <c r="B27" i="9"/>
  <c r="C44" i="12" s="1"/>
  <c r="C43" i="10" s="1"/>
  <c r="B31" i="9"/>
  <c r="C48" i="12" s="1"/>
  <c r="C47" i="10" s="1"/>
  <c r="B35" i="9"/>
  <c r="C52" i="12" s="1"/>
  <c r="C51" i="10" s="1"/>
  <c r="B39" i="9"/>
  <c r="C56" i="12" s="1"/>
  <c r="C55" i="10" s="1"/>
  <c r="B43" i="9"/>
  <c r="C60" i="12" s="1"/>
  <c r="C59" i="10" s="1"/>
  <c r="B47" i="9"/>
  <c r="C64" i="12" s="1"/>
  <c r="C63" i="10" s="1"/>
  <c r="B51" i="9"/>
  <c r="C68" i="12" s="1"/>
  <c r="C67" i="10" s="1"/>
  <c r="B55" i="9"/>
  <c r="C72" i="12" s="1"/>
  <c r="C71" i="10" s="1"/>
  <c r="B59" i="9"/>
  <c r="C76" i="12" s="1"/>
  <c r="C75" i="10" s="1"/>
  <c r="C80" i="12"/>
  <c r="C79" i="10" s="1"/>
  <c r="C84" i="12"/>
  <c r="C83" i="10" s="1"/>
  <c r="B71" i="9"/>
  <c r="C88" i="12" s="1"/>
  <c r="C87" i="10" s="1"/>
  <c r="B75" i="9"/>
  <c r="C92" i="12" s="1"/>
  <c r="C91" i="10" s="1"/>
  <c r="A79" i="9"/>
  <c r="B78" i="9"/>
  <c r="C95" i="12" s="1"/>
  <c r="C94" i="10" s="1"/>
  <c r="B10" i="9"/>
  <c r="C27" i="12" s="1"/>
  <c r="C26" i="10" s="1"/>
  <c r="B18" i="9"/>
  <c r="C35" i="12" s="1"/>
  <c r="C34" i="10" s="1"/>
  <c r="B26" i="9"/>
  <c r="C43" i="12" s="1"/>
  <c r="C42" i="10" s="1"/>
  <c r="B38" i="9"/>
  <c r="C55" i="12" s="1"/>
  <c r="C54" i="10" s="1"/>
  <c r="B4" i="9"/>
  <c r="C21" i="12" s="1"/>
  <c r="C20" i="10" s="1"/>
  <c r="B8" i="9"/>
  <c r="C25" i="12" s="1"/>
  <c r="C24" i="10" s="1"/>
  <c r="B12" i="9"/>
  <c r="C29" i="12" s="1"/>
  <c r="C28" i="10" s="1"/>
  <c r="B16" i="9"/>
  <c r="C33" i="12" s="1"/>
  <c r="C32" i="10" s="1"/>
  <c r="B20" i="9"/>
  <c r="C37" i="12" s="1"/>
  <c r="C36" i="10" s="1"/>
  <c r="B24" i="9"/>
  <c r="C41" i="12" s="1"/>
  <c r="C40" i="10" s="1"/>
  <c r="B28" i="9"/>
  <c r="C45" i="12" s="1"/>
  <c r="C44" i="10" s="1"/>
  <c r="B32" i="9"/>
  <c r="C49" i="12" s="1"/>
  <c r="C48" i="10" s="1"/>
  <c r="B36" i="9"/>
  <c r="C53" i="12" s="1"/>
  <c r="C52" i="10" s="1"/>
  <c r="B40" i="9"/>
  <c r="C57" i="12" s="1"/>
  <c r="C56" i="10" s="1"/>
  <c r="B44" i="9"/>
  <c r="C61" i="12" s="1"/>
  <c r="C60" i="10" s="1"/>
  <c r="B48" i="9"/>
  <c r="C65" i="12" s="1"/>
  <c r="C64" i="10" s="1"/>
  <c r="B52" i="9"/>
  <c r="C69" i="12" s="1"/>
  <c r="C68" i="10" s="1"/>
  <c r="B56" i="9"/>
  <c r="C73" i="12" s="1"/>
  <c r="C72" i="10" s="1"/>
  <c r="B60" i="9"/>
  <c r="C77" i="12" s="1"/>
  <c r="C76" i="10" s="1"/>
  <c r="C81" i="12"/>
  <c r="C80" i="10" s="1"/>
  <c r="C85" i="12"/>
  <c r="C84" i="10" s="1"/>
  <c r="B72" i="9"/>
  <c r="C89" i="12" s="1"/>
  <c r="C88" i="10" s="1"/>
  <c r="B76" i="9"/>
  <c r="C93" i="12" s="1"/>
  <c r="C92" i="10" s="1"/>
  <c r="B5" i="9"/>
  <c r="C22" i="12" s="1"/>
  <c r="C21" i="10" s="1"/>
  <c r="B9" i="9"/>
  <c r="C26" i="12" s="1"/>
  <c r="C25" i="10" s="1"/>
  <c r="B13" i="9"/>
  <c r="C30" i="12" s="1"/>
  <c r="C29" i="10" s="1"/>
  <c r="B17" i="9"/>
  <c r="C34" i="12" s="1"/>
  <c r="C33" i="10" s="1"/>
  <c r="B21" i="9"/>
  <c r="C38" i="12" s="1"/>
  <c r="C37" i="10" s="1"/>
  <c r="B25" i="9"/>
  <c r="C42" i="12" s="1"/>
  <c r="C41" i="10" s="1"/>
  <c r="B29" i="9"/>
  <c r="C46" i="12" s="1"/>
  <c r="C45" i="10" s="1"/>
  <c r="B33" i="9"/>
  <c r="C50" i="12" s="1"/>
  <c r="C49" i="10" s="1"/>
  <c r="B37" i="9"/>
  <c r="C54" i="12" s="1"/>
  <c r="C53" i="10" s="1"/>
  <c r="B41" i="9"/>
  <c r="C58" i="12" s="1"/>
  <c r="C57" i="10" s="1"/>
  <c r="B45" i="9"/>
  <c r="C62" i="12" s="1"/>
  <c r="C61" i="10" s="1"/>
  <c r="B49" i="9"/>
  <c r="C66" i="12" s="1"/>
  <c r="C65" i="10" s="1"/>
  <c r="B53" i="9"/>
  <c r="C70" i="12" s="1"/>
  <c r="C69" i="10" s="1"/>
  <c r="B57" i="9"/>
  <c r="C74" i="12" s="1"/>
  <c r="C73" i="10" s="1"/>
  <c r="C78" i="12"/>
  <c r="C77" i="10" s="1"/>
  <c r="C82" i="12"/>
  <c r="C81" i="10" s="1"/>
  <c r="C86" i="12"/>
  <c r="C85" i="10" s="1"/>
  <c r="B73" i="9"/>
  <c r="C90" i="12" s="1"/>
  <c r="C89" i="10" s="1"/>
  <c r="B77" i="9"/>
  <c r="C94" i="12" s="1"/>
  <c r="C93" i="10" s="1"/>
  <c r="O23" i="12"/>
  <c r="K23" i="12"/>
  <c r="O6" i="12"/>
  <c r="K6" i="12"/>
  <c r="N6" i="12"/>
  <c r="J6" i="12"/>
  <c r="Q6" i="12"/>
  <c r="O10" i="12"/>
  <c r="K10" i="12"/>
  <c r="N10" i="12"/>
  <c r="J10" i="12"/>
  <c r="Q10" i="12"/>
  <c r="G16" i="12"/>
  <c r="H16" i="12" s="1"/>
  <c r="F22" i="12"/>
  <c r="E22" i="12"/>
  <c r="J23" i="12"/>
  <c r="O24" i="12"/>
  <c r="K24" i="12"/>
  <c r="N24" i="12"/>
  <c r="F25" i="12"/>
  <c r="G25" i="12" s="1"/>
  <c r="O5" i="12"/>
  <c r="K5" i="12"/>
  <c r="N5" i="12"/>
  <c r="J5" i="12"/>
  <c r="Q5" i="12"/>
  <c r="O9" i="12"/>
  <c r="K9" i="12"/>
  <c r="N9" i="12"/>
  <c r="J9" i="12"/>
  <c r="Q9" i="12"/>
  <c r="N12" i="12"/>
  <c r="F15" i="12"/>
  <c r="G15" i="12" s="1"/>
  <c r="E15" i="12"/>
  <c r="O17" i="12"/>
  <c r="K17" i="12"/>
  <c r="N17" i="12"/>
  <c r="F18" i="12"/>
  <c r="O21" i="12"/>
  <c r="K21" i="12"/>
  <c r="N21" i="12"/>
  <c r="J21" i="12"/>
  <c r="Q21" i="12"/>
  <c r="O27" i="12"/>
  <c r="K27" i="12"/>
  <c r="O4" i="12"/>
  <c r="K4" i="12"/>
  <c r="N4" i="12"/>
  <c r="J4" i="12"/>
  <c r="Q4" i="12"/>
  <c r="L5" i="12"/>
  <c r="O8" i="12"/>
  <c r="K8" i="12"/>
  <c r="N8" i="12"/>
  <c r="J8" i="12"/>
  <c r="Q8" i="12"/>
  <c r="L9" i="12"/>
  <c r="G12" i="12"/>
  <c r="H12" i="12" s="1"/>
  <c r="E18" i="12"/>
  <c r="O20" i="12"/>
  <c r="K20" i="12"/>
  <c r="N20" i="12"/>
  <c r="J20" i="12"/>
  <c r="Q20" i="12"/>
  <c r="L21" i="12"/>
  <c r="N23" i="12"/>
  <c r="F26" i="12"/>
  <c r="G26" i="12" s="1"/>
  <c r="E26" i="12"/>
  <c r="O3" i="12"/>
  <c r="K3" i="12"/>
  <c r="N3" i="12"/>
  <c r="J3" i="12"/>
  <c r="Q3" i="12"/>
  <c r="L4" i="12"/>
  <c r="M5" i="12"/>
  <c r="O7" i="12"/>
  <c r="K7" i="12"/>
  <c r="N7" i="12"/>
  <c r="J7" i="12"/>
  <c r="Q7" i="12"/>
  <c r="L8" i="12"/>
  <c r="M9" i="12"/>
  <c r="F11" i="12"/>
  <c r="E11" i="12"/>
  <c r="N13" i="12"/>
  <c r="F14" i="12"/>
  <c r="H17" i="12"/>
  <c r="J17" i="12"/>
  <c r="O19" i="12"/>
  <c r="K19" i="12"/>
  <c r="N19" i="12"/>
  <c r="J19" i="12"/>
  <c r="Q19" i="12"/>
  <c r="L20" i="12"/>
  <c r="M21" i="12"/>
  <c r="H23" i="12"/>
  <c r="I23" i="12" s="1"/>
  <c r="H27" i="12"/>
  <c r="G28" i="12"/>
  <c r="F29" i="12"/>
  <c r="G29" i="12" s="1"/>
  <c r="E30" i="12"/>
  <c r="F33" i="12"/>
  <c r="G33" i="12" s="1"/>
  <c r="E34" i="12"/>
  <c r="G36" i="12"/>
  <c r="H36" i="12" s="1"/>
  <c r="F37" i="12"/>
  <c r="G37" i="12" s="1"/>
  <c r="E38" i="12"/>
  <c r="F41" i="12"/>
  <c r="G41" i="12" s="1"/>
  <c r="E42" i="12"/>
  <c r="G44" i="12"/>
  <c r="F45" i="12"/>
  <c r="G45" i="12" s="1"/>
  <c r="E46" i="12"/>
  <c r="F49" i="12"/>
  <c r="G49" i="12" s="1"/>
  <c r="E50" i="12"/>
  <c r="G52" i="12"/>
  <c r="H52" i="12" s="1"/>
  <c r="F53" i="12"/>
  <c r="G53" i="12" s="1"/>
  <c r="E54" i="12"/>
  <c r="G56" i="12"/>
  <c r="F57" i="12"/>
  <c r="G57" i="12" s="1"/>
  <c r="E58" i="12"/>
  <c r="F61" i="12"/>
  <c r="G61" i="12" s="1"/>
  <c r="F63" i="12"/>
  <c r="G63" i="12" s="1"/>
  <c r="N65" i="12"/>
  <c r="K69" i="12"/>
  <c r="E71" i="12"/>
  <c r="G73" i="12"/>
  <c r="H73" i="12" s="1"/>
  <c r="I73" i="12" s="1"/>
  <c r="E79" i="12"/>
  <c r="N85" i="12"/>
  <c r="K93" i="12"/>
  <c r="O93" i="12"/>
  <c r="E12" i="12"/>
  <c r="E16" i="12"/>
  <c r="E23" i="12"/>
  <c r="E27" i="12"/>
  <c r="F30" i="12"/>
  <c r="G30" i="12" s="1"/>
  <c r="E31" i="12"/>
  <c r="F34" i="12"/>
  <c r="G34" i="12" s="1"/>
  <c r="E35" i="12"/>
  <c r="F38" i="12"/>
  <c r="G38" i="12" s="1"/>
  <c r="E39" i="12"/>
  <c r="F42" i="12"/>
  <c r="G42" i="12" s="1"/>
  <c r="E43" i="12"/>
  <c r="F46" i="12"/>
  <c r="G46" i="12" s="1"/>
  <c r="E47" i="12"/>
  <c r="F50" i="12"/>
  <c r="G50" i="12" s="1"/>
  <c r="E51" i="12"/>
  <c r="F54" i="12"/>
  <c r="G54" i="12" s="1"/>
  <c r="E55" i="12"/>
  <c r="F58" i="12"/>
  <c r="G58" i="12" s="1"/>
  <c r="E59" i="12"/>
  <c r="E64" i="12"/>
  <c r="E65" i="12"/>
  <c r="F67" i="12"/>
  <c r="H70" i="12"/>
  <c r="I70" i="12" s="1"/>
  <c r="J70" i="12"/>
  <c r="F72" i="12"/>
  <c r="E72" i="12"/>
  <c r="J73" i="12"/>
  <c r="F75" i="12"/>
  <c r="F80" i="12"/>
  <c r="E80" i="12"/>
  <c r="L92" i="12"/>
  <c r="J27" i="12"/>
  <c r="N27" i="12"/>
  <c r="J31" i="12"/>
  <c r="J35" i="12"/>
  <c r="J39" i="12"/>
  <c r="J43" i="12"/>
  <c r="J47" i="12"/>
  <c r="E83" i="12"/>
  <c r="F83" i="12"/>
  <c r="O85" i="12"/>
  <c r="K85" i="12"/>
  <c r="E87" i="12"/>
  <c r="F87" i="12"/>
  <c r="J28" i="12"/>
  <c r="J36" i="12"/>
  <c r="J44" i="12"/>
  <c r="J52" i="12"/>
  <c r="J56" i="12"/>
  <c r="F68" i="12"/>
  <c r="E68" i="12"/>
  <c r="O70" i="12"/>
  <c r="K70" i="12"/>
  <c r="N70" i="12"/>
  <c r="F71" i="12"/>
  <c r="F76" i="12"/>
  <c r="E76" i="12"/>
  <c r="F79" i="12"/>
  <c r="E84" i="12"/>
  <c r="H85" i="12"/>
  <c r="E88" i="12"/>
  <c r="E89" i="12"/>
  <c r="F91" i="12"/>
  <c r="G91" i="12" s="1"/>
  <c r="N92" i="12"/>
  <c r="J92" i="12"/>
  <c r="H93" i="12"/>
  <c r="I93" i="12" s="1"/>
  <c r="N93" i="12"/>
  <c r="E95" i="12"/>
  <c r="G96" i="12"/>
  <c r="H96" i="12" s="1"/>
  <c r="F97" i="12"/>
  <c r="G97" i="12" s="1"/>
  <c r="F99" i="12"/>
  <c r="G99" i="12" s="1"/>
  <c r="N104" i="12"/>
  <c r="J104" i="12"/>
  <c r="J105" i="12"/>
  <c r="J107" i="12"/>
  <c r="E109" i="12"/>
  <c r="E111" i="12"/>
  <c r="G112" i="12"/>
  <c r="H112" i="12" s="1"/>
  <c r="F113" i="12"/>
  <c r="G113" i="12" s="1"/>
  <c r="F115" i="12"/>
  <c r="G115" i="12" s="1"/>
  <c r="N120" i="12"/>
  <c r="J120" i="12"/>
  <c r="J121" i="12"/>
  <c r="J125" i="12"/>
  <c r="N132" i="12"/>
  <c r="J132" i="12"/>
  <c r="G132" i="12"/>
  <c r="H132" i="12" s="1"/>
  <c r="E69" i="12"/>
  <c r="E73" i="12"/>
  <c r="E77" i="12"/>
  <c r="E81" i="12"/>
  <c r="F84" i="12"/>
  <c r="E85" i="12"/>
  <c r="G88" i="12"/>
  <c r="F89" i="12"/>
  <c r="E92" i="12"/>
  <c r="K92" i="12"/>
  <c r="E93" i="12"/>
  <c r="J93" i="12"/>
  <c r="F95" i="12"/>
  <c r="G95" i="12" s="1"/>
  <c r="E105" i="12"/>
  <c r="G105" i="12"/>
  <c r="H105" i="12" s="1"/>
  <c r="G107" i="12"/>
  <c r="H107" i="12" s="1"/>
  <c r="E107" i="12"/>
  <c r="F109" i="12"/>
  <c r="G109" i="12" s="1"/>
  <c r="F111" i="12"/>
  <c r="E121" i="12"/>
  <c r="G121" i="12"/>
  <c r="H121" i="12" s="1"/>
  <c r="G123" i="12"/>
  <c r="H123" i="12" s="1"/>
  <c r="E123" i="12"/>
  <c r="N156" i="12"/>
  <c r="J156" i="12"/>
  <c r="G156" i="12"/>
  <c r="H156" i="12" s="1"/>
  <c r="N96" i="12"/>
  <c r="J96" i="12"/>
  <c r="E101" i="12"/>
  <c r="E103" i="12"/>
  <c r="N105" i="12"/>
  <c r="N107" i="12"/>
  <c r="N112" i="12"/>
  <c r="J112" i="12"/>
  <c r="E117" i="12"/>
  <c r="E119" i="12"/>
  <c r="N121" i="12"/>
  <c r="N123" i="12"/>
  <c r="J123" i="12"/>
  <c r="N144" i="12"/>
  <c r="J144" i="12"/>
  <c r="G144" i="12"/>
  <c r="H144" i="12" s="1"/>
  <c r="N88" i="12"/>
  <c r="J88" i="12"/>
  <c r="E91" i="12"/>
  <c r="E97" i="12"/>
  <c r="E99" i="12"/>
  <c r="F101" i="12"/>
  <c r="F103" i="12"/>
  <c r="E113" i="12"/>
  <c r="E115" i="12"/>
  <c r="F117" i="12"/>
  <c r="F119" i="12"/>
  <c r="N148" i="12"/>
  <c r="J148" i="12"/>
  <c r="G148" i="12"/>
  <c r="H148" i="12" s="1"/>
  <c r="N164" i="12"/>
  <c r="J164" i="12"/>
  <c r="G164" i="12"/>
  <c r="H164" i="12" s="1"/>
  <c r="J129" i="12"/>
  <c r="J133" i="12"/>
  <c r="J137" i="12"/>
  <c r="M139" i="12"/>
  <c r="Q139" i="12"/>
  <c r="M140" i="12"/>
  <c r="Q140" i="12"/>
  <c r="M141" i="12"/>
  <c r="Q141" i="12"/>
  <c r="M142" i="12"/>
  <c r="Q142" i="12"/>
  <c r="J145" i="12"/>
  <c r="J149" i="12"/>
  <c r="J153" i="12"/>
  <c r="J157" i="12"/>
  <c r="J161" i="12"/>
  <c r="J165" i="12"/>
  <c r="N184" i="12"/>
  <c r="J185" i="12"/>
  <c r="F187" i="12"/>
  <c r="G187" i="12" s="1"/>
  <c r="E187" i="12"/>
  <c r="J192" i="12"/>
  <c r="N192" i="12"/>
  <c r="G192" i="12"/>
  <c r="H192" i="12" s="1"/>
  <c r="J102" i="12"/>
  <c r="J114" i="12"/>
  <c r="G125" i="12"/>
  <c r="H125" i="12" s="1"/>
  <c r="E127" i="12"/>
  <c r="G129" i="12"/>
  <c r="E131" i="12"/>
  <c r="G133" i="12"/>
  <c r="H133" i="12" s="1"/>
  <c r="J134" i="12"/>
  <c r="E135" i="12"/>
  <c r="G137" i="12"/>
  <c r="H137" i="12" s="1"/>
  <c r="J139" i="12"/>
  <c r="N139" i="12"/>
  <c r="J140" i="12"/>
  <c r="N140" i="12"/>
  <c r="J141" i="12"/>
  <c r="N141" i="12"/>
  <c r="J142" i="12"/>
  <c r="N142" i="12"/>
  <c r="E143" i="12"/>
  <c r="G145" i="12"/>
  <c r="H145" i="12" s="1"/>
  <c r="J146" i="12"/>
  <c r="E147" i="12"/>
  <c r="G149" i="12"/>
  <c r="H149" i="12" s="1"/>
  <c r="J150" i="12"/>
  <c r="E151" i="12"/>
  <c r="G153" i="12"/>
  <c r="H153" i="12" s="1"/>
  <c r="J154" i="12"/>
  <c r="E155" i="12"/>
  <c r="G157" i="12"/>
  <c r="H157" i="12" s="1"/>
  <c r="E159" i="12"/>
  <c r="G161" i="12"/>
  <c r="H161" i="12" s="1"/>
  <c r="J162" i="12"/>
  <c r="E163" i="12"/>
  <c r="G165" i="12"/>
  <c r="H165" i="12" s="1"/>
  <c r="J166" i="12"/>
  <c r="E167" i="12"/>
  <c r="E168" i="12"/>
  <c r="G170" i="12"/>
  <c r="F183" i="12"/>
  <c r="G183" i="12" s="1"/>
  <c r="H183" i="12" s="1"/>
  <c r="E183" i="12"/>
  <c r="N189" i="12"/>
  <c r="G189" i="12"/>
  <c r="H189" i="12" s="1"/>
  <c r="F127" i="12"/>
  <c r="F131" i="12"/>
  <c r="F135" i="12"/>
  <c r="K139" i="12"/>
  <c r="O139" i="12"/>
  <c r="K140" i="12"/>
  <c r="O140" i="12"/>
  <c r="K141" i="12"/>
  <c r="O141" i="12"/>
  <c r="K142" i="12"/>
  <c r="O142" i="12"/>
  <c r="F143" i="12"/>
  <c r="G143" i="12" s="1"/>
  <c r="F147" i="12"/>
  <c r="G147" i="12" s="1"/>
  <c r="F151" i="12"/>
  <c r="F155" i="12"/>
  <c r="F159" i="12"/>
  <c r="G159" i="12" s="1"/>
  <c r="F163" i="12"/>
  <c r="G163" i="12" s="1"/>
  <c r="F167" i="12"/>
  <c r="F168" i="12"/>
  <c r="G168" i="12" s="1"/>
  <c r="N170" i="12"/>
  <c r="N185" i="12"/>
  <c r="F186" i="12"/>
  <c r="G186" i="12" s="1"/>
  <c r="J189" i="12"/>
  <c r="E125" i="12"/>
  <c r="E129" i="12"/>
  <c r="E133" i="12"/>
  <c r="E137" i="12"/>
  <c r="L139" i="12"/>
  <c r="L140" i="12"/>
  <c r="L141" i="12"/>
  <c r="L142" i="12"/>
  <c r="E145" i="12"/>
  <c r="E149" i="12"/>
  <c r="E153" i="12"/>
  <c r="E157" i="12"/>
  <c r="E161" i="12"/>
  <c r="E165" i="12"/>
  <c r="E169" i="12"/>
  <c r="E170" i="12"/>
  <c r="F182" i="12"/>
  <c r="E186" i="12"/>
  <c r="F190" i="12"/>
  <c r="F196" i="12"/>
  <c r="G196" i="12" s="1"/>
  <c r="E199" i="12"/>
  <c r="E200" i="12"/>
  <c r="E204" i="12"/>
  <c r="E206" i="12"/>
  <c r="G207" i="12"/>
  <c r="H207" i="12" s="1"/>
  <c r="F208" i="12"/>
  <c r="F210" i="12"/>
  <c r="G210" i="12" s="1"/>
  <c r="J212" i="12"/>
  <c r="F214" i="12"/>
  <c r="G214" i="12" s="1"/>
  <c r="E214" i="12"/>
  <c r="N219" i="12"/>
  <c r="J219" i="12"/>
  <c r="J220" i="12"/>
  <c r="F222" i="12"/>
  <c r="E222" i="12"/>
  <c r="J234" i="12"/>
  <c r="K244" i="12"/>
  <c r="O244" i="12"/>
  <c r="J249" i="12"/>
  <c r="N249" i="12"/>
  <c r="F250" i="12"/>
  <c r="E250" i="12"/>
  <c r="N258" i="12"/>
  <c r="J258" i="12"/>
  <c r="G258" i="12"/>
  <c r="H258" i="12" s="1"/>
  <c r="N294" i="12"/>
  <c r="J294" i="12"/>
  <c r="G294" i="12"/>
  <c r="H294" i="12" s="1"/>
  <c r="C4" i="2"/>
  <c r="D4" i="2"/>
  <c r="M171" i="12"/>
  <c r="M172" i="12"/>
  <c r="M173" i="12"/>
  <c r="M174" i="12"/>
  <c r="M175" i="12"/>
  <c r="M176" i="12"/>
  <c r="M177" i="12"/>
  <c r="M178" i="12"/>
  <c r="M179" i="12"/>
  <c r="G185" i="12"/>
  <c r="E188" i="12"/>
  <c r="E194" i="12"/>
  <c r="G199" i="12"/>
  <c r="H199" i="12" s="1"/>
  <c r="I199" i="12" s="1"/>
  <c r="F200" i="12"/>
  <c r="G200" i="12" s="1"/>
  <c r="G202" i="12"/>
  <c r="E202" i="12"/>
  <c r="F204" i="12"/>
  <c r="F206" i="12"/>
  <c r="N211" i="12"/>
  <c r="J211" i="12"/>
  <c r="J241" i="12"/>
  <c r="E247" i="12"/>
  <c r="F247" i="12"/>
  <c r="F272" i="12"/>
  <c r="E272" i="12"/>
  <c r="E192" i="12"/>
  <c r="F194" i="12"/>
  <c r="G194" i="12" s="1"/>
  <c r="N195" i="12"/>
  <c r="J195" i="12"/>
  <c r="N207" i="12"/>
  <c r="J207" i="12"/>
  <c r="N215" i="12"/>
  <c r="J215" i="12"/>
  <c r="F218" i="12"/>
  <c r="E218" i="12"/>
  <c r="G219" i="12"/>
  <c r="H219" i="12" s="1"/>
  <c r="F232" i="12"/>
  <c r="E232" i="12"/>
  <c r="J243" i="12"/>
  <c r="N243" i="12"/>
  <c r="G243" i="12"/>
  <c r="H243" i="12" s="1"/>
  <c r="H244" i="12"/>
  <c r="I244" i="12" s="1"/>
  <c r="F261" i="12"/>
  <c r="E261" i="12"/>
  <c r="N266" i="12"/>
  <c r="J266" i="12"/>
  <c r="G266" i="12"/>
  <c r="H266" i="12" s="1"/>
  <c r="E287" i="12"/>
  <c r="F287" i="12"/>
  <c r="E196" i="12"/>
  <c r="N199" i="12"/>
  <c r="J199" i="12"/>
  <c r="E208" i="12"/>
  <c r="E210" i="12"/>
  <c r="F239" i="12"/>
  <c r="E239" i="12"/>
  <c r="J201" i="12"/>
  <c r="J209" i="12"/>
  <c r="G212" i="12"/>
  <c r="H212" i="12" s="1"/>
  <c r="G216" i="12"/>
  <c r="H216" i="12" s="1"/>
  <c r="G220" i="12"/>
  <c r="H220" i="12" s="1"/>
  <c r="G230" i="12"/>
  <c r="H230" i="12" s="1"/>
  <c r="G234" i="12"/>
  <c r="H234" i="12" s="1"/>
  <c r="G241" i="12"/>
  <c r="H241" i="12" s="1"/>
  <c r="J242" i="12"/>
  <c r="J244" i="12"/>
  <c r="E251" i="12"/>
  <c r="F254" i="12"/>
  <c r="E259" i="12"/>
  <c r="G259" i="12"/>
  <c r="H259" i="12" s="1"/>
  <c r="F273" i="12"/>
  <c r="G273" i="12" s="1"/>
  <c r="E273" i="12"/>
  <c r="E289" i="12"/>
  <c r="F289" i="12"/>
  <c r="J293" i="12"/>
  <c r="K295" i="12"/>
  <c r="G249" i="12"/>
  <c r="E255" i="12"/>
  <c r="E257" i="12"/>
  <c r="F265" i="12"/>
  <c r="E265" i="12"/>
  <c r="E279" i="12"/>
  <c r="F279" i="12"/>
  <c r="G279" i="12" s="1"/>
  <c r="H279" i="12" s="1"/>
  <c r="J291" i="12"/>
  <c r="N293" i="12"/>
  <c r="E212" i="12"/>
  <c r="E216" i="12"/>
  <c r="E220" i="12"/>
  <c r="E230" i="12"/>
  <c r="E234" i="12"/>
  <c r="M235" i="12"/>
  <c r="M236" i="12"/>
  <c r="M237" i="12"/>
  <c r="E241" i="12"/>
  <c r="E243" i="12"/>
  <c r="F245" i="12"/>
  <c r="N246" i="12"/>
  <c r="J246" i="12"/>
  <c r="E249" i="12"/>
  <c r="G251" i="12"/>
  <c r="F255" i="12"/>
  <c r="G255" i="12" s="1"/>
  <c r="F257" i="12"/>
  <c r="G257" i="12" s="1"/>
  <c r="J275" i="12"/>
  <c r="N275" i="12"/>
  <c r="G275" i="12"/>
  <c r="H275" i="12" s="1"/>
  <c r="J256" i="12"/>
  <c r="G263" i="12"/>
  <c r="H263" i="12" s="1"/>
  <c r="L267" i="12"/>
  <c r="P267" i="12"/>
  <c r="L268" i="12"/>
  <c r="P268" i="12"/>
  <c r="L269" i="12"/>
  <c r="P269" i="12"/>
  <c r="G270" i="12"/>
  <c r="H270" i="12" s="1"/>
  <c r="J276" i="12"/>
  <c r="E283" i="12"/>
  <c r="G283" i="12"/>
  <c r="G285" i="12"/>
  <c r="E285" i="12"/>
  <c r="G286" i="12"/>
  <c r="F297" i="12"/>
  <c r="E297" i="12"/>
  <c r="F314" i="12"/>
  <c r="G314" i="12" s="1"/>
  <c r="H314" i="12" s="1"/>
  <c r="E314" i="12"/>
  <c r="M267" i="12"/>
  <c r="Q267" i="12"/>
  <c r="M268" i="12"/>
  <c r="Q268" i="12"/>
  <c r="M269" i="12"/>
  <c r="Q269" i="12"/>
  <c r="E281" i="12"/>
  <c r="N283" i="12"/>
  <c r="N285" i="12"/>
  <c r="N290" i="12"/>
  <c r="J290" i="12"/>
  <c r="G296" i="12"/>
  <c r="H296" i="12" s="1"/>
  <c r="J296" i="12"/>
  <c r="O301" i="12"/>
  <c r="K301" i="12"/>
  <c r="N301" i="12"/>
  <c r="J301" i="12"/>
  <c r="P301" i="12"/>
  <c r="M301" i="12"/>
  <c r="L301" i="12"/>
  <c r="F327" i="12"/>
  <c r="G327" i="12" s="1"/>
  <c r="E327" i="12"/>
  <c r="E263" i="12"/>
  <c r="J267" i="12"/>
  <c r="J268" i="12"/>
  <c r="J269" i="12"/>
  <c r="E270" i="12"/>
  <c r="E274" i="12"/>
  <c r="E275" i="12"/>
  <c r="F277" i="12"/>
  <c r="G277" i="12" s="1"/>
  <c r="N278" i="12"/>
  <c r="J278" i="12"/>
  <c r="F281" i="12"/>
  <c r="N286" i="12"/>
  <c r="J286" i="12"/>
  <c r="E291" i="12"/>
  <c r="G291" i="12"/>
  <c r="G293" i="12"/>
  <c r="E293" i="12"/>
  <c r="N296" i="12"/>
  <c r="Q301" i="12"/>
  <c r="J316" i="12"/>
  <c r="G316" i="12"/>
  <c r="H316" i="12" s="1"/>
  <c r="I316" i="12" s="1"/>
  <c r="N316" i="12"/>
  <c r="J284" i="12"/>
  <c r="J288" i="12"/>
  <c r="J292" i="12"/>
  <c r="O300" i="12"/>
  <c r="K300" i="12"/>
  <c r="N300" i="12"/>
  <c r="J300" i="12"/>
  <c r="Q300" i="12"/>
  <c r="N303" i="12"/>
  <c r="P304" i="12"/>
  <c r="F306" i="12"/>
  <c r="E306" i="12"/>
  <c r="F309" i="12"/>
  <c r="G309" i="12" s="1"/>
  <c r="H309" i="12" s="1"/>
  <c r="G321" i="12"/>
  <c r="H321" i="12" s="1"/>
  <c r="J321" i="12"/>
  <c r="F322" i="12"/>
  <c r="E322" i="12"/>
  <c r="J324" i="12"/>
  <c r="G324" i="12"/>
  <c r="H324" i="12" s="1"/>
  <c r="G329" i="12"/>
  <c r="H329" i="12" s="1"/>
  <c r="N329" i="12"/>
  <c r="N295" i="12"/>
  <c r="F298" i="12"/>
  <c r="G298" i="12" s="1"/>
  <c r="E298" i="12"/>
  <c r="F310" i="12"/>
  <c r="G310" i="12" s="1"/>
  <c r="F311" i="12"/>
  <c r="G311" i="12" s="1"/>
  <c r="H311" i="12" s="1"/>
  <c r="I311" i="12" s="1"/>
  <c r="E311" i="12"/>
  <c r="R299" i="12"/>
  <c r="M300" i="12"/>
  <c r="F302" i="12"/>
  <c r="E302" i="12"/>
  <c r="O304" i="12"/>
  <c r="K304" i="12"/>
  <c r="N304" i="12"/>
  <c r="F305" i="12"/>
  <c r="G305" i="12" s="1"/>
  <c r="E310" i="12"/>
  <c r="F319" i="12"/>
  <c r="E319" i="12"/>
  <c r="N321" i="12"/>
  <c r="N324" i="12"/>
  <c r="H303" i="12"/>
  <c r="E295" i="12"/>
  <c r="E303" i="12"/>
  <c r="E307" i="12"/>
  <c r="F315" i="12"/>
  <c r="E315" i="12"/>
  <c r="O317" i="12"/>
  <c r="K317" i="12"/>
  <c r="N317" i="12"/>
  <c r="F318" i="12"/>
  <c r="G318" i="12" s="1"/>
  <c r="F323" i="12"/>
  <c r="E323" i="12"/>
  <c r="N325" i="12"/>
  <c r="F326" i="12"/>
  <c r="G326" i="12" s="1"/>
  <c r="E3" i="2"/>
  <c r="E312" i="12"/>
  <c r="E316" i="12"/>
  <c r="E320" i="12"/>
  <c r="E324" i="12"/>
  <c r="E328" i="12"/>
  <c r="H262" i="12" l="1"/>
  <c r="I262" i="12" s="1"/>
  <c r="J262" i="12"/>
  <c r="O262" i="12"/>
  <c r="O78" i="12"/>
  <c r="R227" i="12"/>
  <c r="M223" i="12"/>
  <c r="Q223" i="12"/>
  <c r="R223" i="12" s="1"/>
  <c r="N64" i="12"/>
  <c r="G330" i="12"/>
  <c r="K330" i="12" s="1"/>
  <c r="H284" i="12"/>
  <c r="H108" i="12"/>
  <c r="I108" i="12" s="1"/>
  <c r="Q108" i="12" s="1"/>
  <c r="M227" i="12"/>
  <c r="P225" i="12"/>
  <c r="L225" i="12"/>
  <c r="I225" i="12"/>
  <c r="N108" i="12"/>
  <c r="G160" i="12"/>
  <c r="H160" i="12" s="1"/>
  <c r="I160" i="12" s="1"/>
  <c r="M160" i="12" s="1"/>
  <c r="O92" i="12"/>
  <c r="N62" i="12"/>
  <c r="H193" i="12"/>
  <c r="P193" i="12" s="1"/>
  <c r="O193" i="12"/>
  <c r="O284" i="12"/>
  <c r="J271" i="12"/>
  <c r="O292" i="12"/>
  <c r="K292" i="12"/>
  <c r="J213" i="12"/>
  <c r="G233" i="12"/>
  <c r="H233" i="12" s="1"/>
  <c r="P233" i="12" s="1"/>
  <c r="J94" i="12"/>
  <c r="N160" i="12"/>
  <c r="H114" i="12"/>
  <c r="O114" i="12"/>
  <c r="I92" i="12"/>
  <c r="Q92" i="12" s="1"/>
  <c r="R92" i="12" s="1"/>
  <c r="K108" i="12"/>
  <c r="G62" i="12"/>
  <c r="H62" i="12" s="1"/>
  <c r="I62" i="12" s="1"/>
  <c r="K303" i="12"/>
  <c r="J282" i="12"/>
  <c r="J64" i="12"/>
  <c r="N193" i="12"/>
  <c r="Q224" i="12"/>
  <c r="R224" i="12" s="1"/>
  <c r="M224" i="12"/>
  <c r="P228" i="12"/>
  <c r="L228" i="12"/>
  <c r="I228" i="12"/>
  <c r="J330" i="12"/>
  <c r="N282" i="12"/>
  <c r="J191" i="12"/>
  <c r="J108" i="12"/>
  <c r="H295" i="12"/>
  <c r="I295" i="12" s="1"/>
  <c r="Q295" i="12" s="1"/>
  <c r="K246" i="12"/>
  <c r="O312" i="12"/>
  <c r="P317" i="12"/>
  <c r="N78" i="12"/>
  <c r="J78" i="12"/>
  <c r="J98" i="12"/>
  <c r="H308" i="12"/>
  <c r="I308" i="12" s="1"/>
  <c r="H43" i="12"/>
  <c r="P43" i="12" s="1"/>
  <c r="J130" i="12"/>
  <c r="H120" i="12"/>
  <c r="I120" i="12" s="1"/>
  <c r="M120" i="12" s="1"/>
  <c r="O278" i="12"/>
  <c r="J74" i="12"/>
  <c r="G198" i="12"/>
  <c r="O198" i="12" s="1"/>
  <c r="O120" i="12"/>
  <c r="G32" i="12"/>
  <c r="O32" i="12" s="1"/>
  <c r="K325" i="12"/>
  <c r="Q304" i="12"/>
  <c r="R304" i="12" s="1"/>
  <c r="J264" i="12"/>
  <c r="H276" i="12"/>
  <c r="L276" i="12" s="1"/>
  <c r="J32" i="12"/>
  <c r="K81" i="12"/>
  <c r="N74" i="12"/>
  <c r="O65" i="12"/>
  <c r="K13" i="12"/>
  <c r="P24" i="12"/>
  <c r="H325" i="12"/>
  <c r="L325" i="12" s="1"/>
  <c r="H246" i="12"/>
  <c r="L246" i="12" s="1"/>
  <c r="H278" i="12"/>
  <c r="P278" i="12" s="1"/>
  <c r="H242" i="12"/>
  <c r="H307" i="12"/>
  <c r="L307" i="12" s="1"/>
  <c r="L304" i="12"/>
  <c r="K242" i="12"/>
  <c r="O276" i="12"/>
  <c r="N198" i="12"/>
  <c r="O184" i="12"/>
  <c r="J116" i="12"/>
  <c r="H65" i="12"/>
  <c r="I65" i="12" s="1"/>
  <c r="Q65" i="12" s="1"/>
  <c r="O13" i="12"/>
  <c r="H288" i="12"/>
  <c r="L288" i="12" s="1"/>
  <c r="H312" i="12"/>
  <c r="I312" i="12" s="1"/>
  <c r="Q312" i="12" s="1"/>
  <c r="O280" i="12"/>
  <c r="G203" i="12"/>
  <c r="H203" i="12" s="1"/>
  <c r="P203" i="12" s="1"/>
  <c r="N262" i="12"/>
  <c r="H215" i="12"/>
  <c r="I215" i="12" s="1"/>
  <c r="Q215" i="12" s="1"/>
  <c r="K74" i="12"/>
  <c r="H69" i="12"/>
  <c r="I69" i="12" s="1"/>
  <c r="Q69" i="12" s="1"/>
  <c r="J274" i="12"/>
  <c r="N229" i="12"/>
  <c r="N191" i="12"/>
  <c r="H191" i="12"/>
  <c r="P191" i="12" s="1"/>
  <c r="H184" i="12"/>
  <c r="L184" i="12" s="1"/>
  <c r="J138" i="12"/>
  <c r="J118" i="12"/>
  <c r="K102" i="12"/>
  <c r="H102" i="12"/>
  <c r="I102" i="12" s="1"/>
  <c r="M102" i="12" s="1"/>
  <c r="K43" i="12"/>
  <c r="O307" i="12"/>
  <c r="I192" i="12"/>
  <c r="Q192" i="12" s="1"/>
  <c r="O274" i="12"/>
  <c r="K35" i="12"/>
  <c r="H78" i="12"/>
  <c r="I78" i="12" s="1"/>
  <c r="M78" i="12" s="1"/>
  <c r="L24" i="12"/>
  <c r="G209" i="12"/>
  <c r="H209" i="12" s="1"/>
  <c r="G264" i="12"/>
  <c r="R237" i="12"/>
  <c r="K134" i="12"/>
  <c r="G128" i="12"/>
  <c r="H128" i="12" s="1"/>
  <c r="G90" i="12"/>
  <c r="H90" i="12" s="1"/>
  <c r="O81" i="12"/>
  <c r="O74" i="12"/>
  <c r="H134" i="12"/>
  <c r="I134" i="12" s="1"/>
  <c r="J128" i="12"/>
  <c r="G82" i="12"/>
  <c r="H82" i="12" s="1"/>
  <c r="L82" i="12" s="1"/>
  <c r="J48" i="12"/>
  <c r="G136" i="12"/>
  <c r="H136" i="12" s="1"/>
  <c r="L136" i="12" s="1"/>
  <c r="I193" i="12"/>
  <c r="Q193" i="12" s="1"/>
  <c r="K215" i="12"/>
  <c r="J233" i="12"/>
  <c r="G213" i="12"/>
  <c r="K213" i="12" s="1"/>
  <c r="H211" i="12"/>
  <c r="I211" i="12" s="1"/>
  <c r="Q211" i="12" s="1"/>
  <c r="K211" i="12"/>
  <c r="J169" i="12"/>
  <c r="H166" i="12"/>
  <c r="P166" i="12" s="1"/>
  <c r="K166" i="12"/>
  <c r="N169" i="12"/>
  <c r="K154" i="12"/>
  <c r="J152" i="12"/>
  <c r="H150" i="12"/>
  <c r="I150" i="12" s="1"/>
  <c r="H154" i="12"/>
  <c r="L154" i="12" s="1"/>
  <c r="O308" i="12"/>
  <c r="I317" i="12"/>
  <c r="Q317" i="12" s="1"/>
  <c r="G272" i="12"/>
  <c r="O272" i="12" s="1"/>
  <c r="J136" i="12"/>
  <c r="N116" i="12"/>
  <c r="G252" i="12"/>
  <c r="H252" i="12" s="1"/>
  <c r="L252" i="12" s="1"/>
  <c r="O188" i="12"/>
  <c r="J124" i="12"/>
  <c r="J51" i="12"/>
  <c r="G40" i="12"/>
  <c r="H40" i="12" s="1"/>
  <c r="P40" i="12" s="1"/>
  <c r="G124" i="12"/>
  <c r="H188" i="12"/>
  <c r="I188" i="12" s="1"/>
  <c r="Q188" i="12" s="1"/>
  <c r="H116" i="12"/>
  <c r="P116" i="12" s="1"/>
  <c r="K116" i="12"/>
  <c r="J40" i="12"/>
  <c r="O100" i="12"/>
  <c r="K100" i="12"/>
  <c r="N274" i="12"/>
  <c r="O288" i="12"/>
  <c r="H274" i="12"/>
  <c r="I274" i="12" s="1"/>
  <c r="M274" i="12" s="1"/>
  <c r="K280" i="12"/>
  <c r="J203" i="12"/>
  <c r="H214" i="12"/>
  <c r="P214" i="12" s="1"/>
  <c r="N252" i="12"/>
  <c r="J100" i="12"/>
  <c r="G86" i="12"/>
  <c r="H86" i="12" s="1"/>
  <c r="G60" i="12"/>
  <c r="K60" i="12" s="1"/>
  <c r="H15" i="12"/>
  <c r="I15" i="12" s="1"/>
  <c r="M15" i="12" s="1"/>
  <c r="R4" i="12"/>
  <c r="L13" i="12"/>
  <c r="R172" i="12"/>
  <c r="G238" i="12"/>
  <c r="O238" i="12" s="1"/>
  <c r="R268" i="12"/>
  <c r="J240" i="12"/>
  <c r="G181" i="12"/>
  <c r="H181" i="12" s="1"/>
  <c r="P181" i="12" s="1"/>
  <c r="J86" i="12"/>
  <c r="N100" i="12"/>
  <c r="L74" i="12"/>
  <c r="G48" i="12"/>
  <c r="O48" i="12" s="1"/>
  <c r="P13" i="12"/>
  <c r="R6" i="12"/>
  <c r="G271" i="12"/>
  <c r="J308" i="12"/>
  <c r="N308" i="12"/>
  <c r="N240" i="12"/>
  <c r="K150" i="12"/>
  <c r="H100" i="12"/>
  <c r="P100" i="12" s="1"/>
  <c r="J82" i="12"/>
  <c r="P74" i="12"/>
  <c r="M74" i="12"/>
  <c r="R171" i="12"/>
  <c r="R236" i="12"/>
  <c r="G130" i="12"/>
  <c r="H130" i="12" s="1"/>
  <c r="G98" i="12"/>
  <c r="G94" i="12"/>
  <c r="G261" i="12"/>
  <c r="O261" i="12" s="1"/>
  <c r="H170" i="12"/>
  <c r="I170" i="12" s="1"/>
  <c r="Q170" i="12" s="1"/>
  <c r="G319" i="12"/>
  <c r="O319" i="12" s="1"/>
  <c r="O201" i="12"/>
  <c r="K201" i="12"/>
  <c r="H201" i="12"/>
  <c r="I201" i="12" s="1"/>
  <c r="G254" i="12"/>
  <c r="H254" i="12" s="1"/>
  <c r="I241" i="12"/>
  <c r="M241" i="12" s="1"/>
  <c r="O31" i="12"/>
  <c r="K31" i="12"/>
  <c r="N260" i="12"/>
  <c r="G260" i="12"/>
  <c r="H260" i="12" s="1"/>
  <c r="N205" i="12"/>
  <c r="G205" i="12"/>
  <c r="N320" i="12"/>
  <c r="J320" i="12"/>
  <c r="G320" i="12"/>
  <c r="N253" i="12"/>
  <c r="J253" i="12"/>
  <c r="N248" i="12"/>
  <c r="J248" i="12"/>
  <c r="G248" i="12"/>
  <c r="O162" i="12"/>
  <c r="H162" i="12"/>
  <c r="I162" i="12" s="1"/>
  <c r="M162" i="12" s="1"/>
  <c r="K162" i="12"/>
  <c r="J197" i="12"/>
  <c r="N197" i="12"/>
  <c r="G197" i="12"/>
  <c r="O229" i="12"/>
  <c r="K229" i="12"/>
  <c r="H286" i="12"/>
  <c r="I286" i="12" s="1"/>
  <c r="J260" i="12"/>
  <c r="H229" i="12"/>
  <c r="I229" i="12" s="1"/>
  <c r="Q229" i="12" s="1"/>
  <c r="H129" i="12"/>
  <c r="P129" i="12" s="1"/>
  <c r="K104" i="12"/>
  <c r="O47" i="12"/>
  <c r="H47" i="12"/>
  <c r="L47" i="12" s="1"/>
  <c r="N313" i="12"/>
  <c r="K169" i="12"/>
  <c r="H169" i="12"/>
  <c r="I169" i="12" s="1"/>
  <c r="O240" i="12"/>
  <c r="H240" i="12"/>
  <c r="I240" i="12" s="1"/>
  <c r="Q240" i="12" s="1"/>
  <c r="G313" i="12"/>
  <c r="H313" i="12" s="1"/>
  <c r="P313" i="12" s="1"/>
  <c r="G208" i="12"/>
  <c r="H208" i="12" s="1"/>
  <c r="J229" i="12"/>
  <c r="O191" i="12"/>
  <c r="O169" i="12"/>
  <c r="H104" i="12"/>
  <c r="I104" i="12" s="1"/>
  <c r="G152" i="12"/>
  <c r="H152" i="12" s="1"/>
  <c r="I152" i="12" s="1"/>
  <c r="M152" i="12" s="1"/>
  <c r="R20" i="12"/>
  <c r="O77" i="12"/>
  <c r="K77" i="12"/>
  <c r="N217" i="12"/>
  <c r="G217" i="12"/>
  <c r="H217" i="12" s="1"/>
  <c r="N122" i="12"/>
  <c r="J122" i="12"/>
  <c r="N106" i="12"/>
  <c r="J106" i="12"/>
  <c r="G106" i="12"/>
  <c r="G122" i="12"/>
  <c r="H122" i="12" s="1"/>
  <c r="I122" i="12" s="1"/>
  <c r="K64" i="12"/>
  <c r="H64" i="12"/>
  <c r="R174" i="12"/>
  <c r="N231" i="12"/>
  <c r="G231" i="12"/>
  <c r="H231" i="12" s="1"/>
  <c r="O256" i="12"/>
  <c r="K256" i="12"/>
  <c r="I112" i="12"/>
  <c r="Q112" i="12" s="1"/>
  <c r="R3" i="12"/>
  <c r="R269" i="12"/>
  <c r="R267" i="12"/>
  <c r="I263" i="12"/>
  <c r="M263" i="12" s="1"/>
  <c r="I165" i="12"/>
  <c r="Q165" i="12" s="1"/>
  <c r="I123" i="12"/>
  <c r="Q123" i="12" s="1"/>
  <c r="I96" i="12"/>
  <c r="M96" i="12" s="1"/>
  <c r="R179" i="12"/>
  <c r="J181" i="12"/>
  <c r="G51" i="12"/>
  <c r="K290" i="12"/>
  <c r="O290" i="12"/>
  <c r="N221" i="12"/>
  <c r="G221" i="12"/>
  <c r="H221" i="12" s="1"/>
  <c r="O195" i="12"/>
  <c r="K195" i="12"/>
  <c r="N126" i="12"/>
  <c r="G126" i="12"/>
  <c r="N328" i="12"/>
  <c r="J328" i="12"/>
  <c r="G328" i="12"/>
  <c r="N90" i="12"/>
  <c r="J90" i="12"/>
  <c r="G138" i="12"/>
  <c r="N158" i="12"/>
  <c r="G158" i="12"/>
  <c r="N110" i="12"/>
  <c r="G110" i="12"/>
  <c r="H256" i="12"/>
  <c r="N66" i="12"/>
  <c r="J66" i="12"/>
  <c r="H138" i="12"/>
  <c r="G118" i="12"/>
  <c r="R235" i="12"/>
  <c r="J238" i="12"/>
  <c r="J59" i="12"/>
  <c r="J55" i="12"/>
  <c r="K39" i="12"/>
  <c r="H39" i="12"/>
  <c r="I39" i="12" s="1"/>
  <c r="M39" i="12" s="1"/>
  <c r="H35" i="12"/>
  <c r="L35" i="12" s="1"/>
  <c r="H37" i="12"/>
  <c r="P37" i="12" s="1"/>
  <c r="H26" i="12"/>
  <c r="P26" i="12" s="1"/>
  <c r="M24" i="12"/>
  <c r="Q24" i="12"/>
  <c r="J180" i="12"/>
  <c r="N180" i="12"/>
  <c r="I189" i="12"/>
  <c r="Q189" i="12" s="1"/>
  <c r="G180" i="12"/>
  <c r="R176" i="12"/>
  <c r="R173" i="12"/>
  <c r="R177" i="12"/>
  <c r="H42" i="12"/>
  <c r="I42" i="12" s="1"/>
  <c r="I183" i="12"/>
  <c r="M183" i="12" s="1"/>
  <c r="R175" i="12"/>
  <c r="R178" i="12"/>
  <c r="G55" i="12"/>
  <c r="J60" i="12"/>
  <c r="G59" i="12"/>
  <c r="H49" i="12"/>
  <c r="L49" i="12" s="1"/>
  <c r="K146" i="12"/>
  <c r="H146" i="12"/>
  <c r="H63" i="12"/>
  <c r="I63" i="12" s="1"/>
  <c r="H30" i="12"/>
  <c r="P30" i="12" s="1"/>
  <c r="H34" i="12"/>
  <c r="P34" i="12" s="1"/>
  <c r="L279" i="12"/>
  <c r="P279" i="12"/>
  <c r="O273" i="12"/>
  <c r="K273" i="12"/>
  <c r="M244" i="12"/>
  <c r="Q244" i="12"/>
  <c r="O159" i="12"/>
  <c r="K159" i="12"/>
  <c r="O143" i="12"/>
  <c r="K143" i="12"/>
  <c r="P105" i="12"/>
  <c r="L105" i="12"/>
  <c r="Q77" i="12"/>
  <c r="M77" i="12"/>
  <c r="Q62" i="12"/>
  <c r="M62" i="12"/>
  <c r="Q316" i="12"/>
  <c r="M316" i="12"/>
  <c r="O277" i="12"/>
  <c r="K277" i="12"/>
  <c r="Q262" i="12"/>
  <c r="M262" i="12"/>
  <c r="P220" i="12"/>
  <c r="L220" i="12"/>
  <c r="L243" i="12"/>
  <c r="P243" i="12"/>
  <c r="I243" i="12"/>
  <c r="O168" i="12"/>
  <c r="K168" i="12"/>
  <c r="H168" i="12"/>
  <c r="I168" i="12" s="1"/>
  <c r="O163" i="12"/>
  <c r="K163" i="12"/>
  <c r="O147" i="12"/>
  <c r="K147" i="12"/>
  <c r="P121" i="12"/>
  <c r="L121" i="12"/>
  <c r="I121" i="12"/>
  <c r="O109" i="12"/>
  <c r="K109" i="12"/>
  <c r="Q73" i="12"/>
  <c r="M73" i="12"/>
  <c r="Q23" i="12"/>
  <c r="M23" i="12"/>
  <c r="O310" i="12"/>
  <c r="K310" i="12"/>
  <c r="H310" i="12"/>
  <c r="I310" i="12" s="1"/>
  <c r="L275" i="12"/>
  <c r="P275" i="12"/>
  <c r="I275" i="12"/>
  <c r="O194" i="12"/>
  <c r="K194" i="12"/>
  <c r="O25" i="12"/>
  <c r="K25" i="12"/>
  <c r="O318" i="12"/>
  <c r="K318" i="12"/>
  <c r="Q311" i="12"/>
  <c r="M311" i="12"/>
  <c r="O255" i="12"/>
  <c r="K255" i="12"/>
  <c r="Q120" i="12"/>
  <c r="P107" i="12"/>
  <c r="L107" i="12"/>
  <c r="I107" i="12"/>
  <c r="O95" i="12"/>
  <c r="K95" i="12"/>
  <c r="M70" i="12"/>
  <c r="Q70" i="12"/>
  <c r="P52" i="12"/>
  <c r="L52" i="12"/>
  <c r="I52" i="12"/>
  <c r="P36" i="12"/>
  <c r="L36" i="12"/>
  <c r="I36" i="12"/>
  <c r="O326" i="12"/>
  <c r="K326" i="12"/>
  <c r="P329" i="12"/>
  <c r="L329" i="12"/>
  <c r="N302" i="12"/>
  <c r="J302" i="12"/>
  <c r="G302" i="12"/>
  <c r="H302" i="12" s="1"/>
  <c r="N298" i="12"/>
  <c r="J298" i="12"/>
  <c r="H298" i="12"/>
  <c r="I298" i="12" s="1"/>
  <c r="O329" i="12"/>
  <c r="K329" i="12"/>
  <c r="O324" i="12"/>
  <c r="K324" i="12"/>
  <c r="N322" i="12"/>
  <c r="J322" i="12"/>
  <c r="O321" i="12"/>
  <c r="K321" i="12"/>
  <c r="N306" i="12"/>
  <c r="J306" i="12"/>
  <c r="G306" i="12"/>
  <c r="P290" i="12"/>
  <c r="L290" i="12"/>
  <c r="P282" i="12"/>
  <c r="L282" i="12"/>
  <c r="O316" i="12"/>
  <c r="K316" i="12"/>
  <c r="O327" i="12"/>
  <c r="K327" i="12"/>
  <c r="N327" i="12"/>
  <c r="J327" i="12"/>
  <c r="O296" i="12"/>
  <c r="K296" i="12"/>
  <c r="P270" i="12"/>
  <c r="L270" i="12"/>
  <c r="P263" i="12"/>
  <c r="L263" i="12"/>
  <c r="P314" i="12"/>
  <c r="L314" i="12"/>
  <c r="G297" i="12"/>
  <c r="H297" i="12" s="1"/>
  <c r="O283" i="12"/>
  <c r="K283" i="12"/>
  <c r="P266" i="12"/>
  <c r="L266" i="12"/>
  <c r="P259" i="12"/>
  <c r="L259" i="12"/>
  <c r="N265" i="12"/>
  <c r="J265" i="12"/>
  <c r="P241" i="12"/>
  <c r="L241" i="12"/>
  <c r="P230" i="12"/>
  <c r="L230" i="12"/>
  <c r="P216" i="12"/>
  <c r="L216" i="12"/>
  <c r="H273" i="12"/>
  <c r="I273" i="12" s="1"/>
  <c r="I259" i="12"/>
  <c r="O230" i="12"/>
  <c r="K230" i="12"/>
  <c r="P219" i="12"/>
  <c r="L219" i="12"/>
  <c r="P207" i="12"/>
  <c r="L207" i="12"/>
  <c r="I290" i="12"/>
  <c r="G239" i="12"/>
  <c r="H239" i="12" s="1"/>
  <c r="M199" i="12"/>
  <c r="Q199" i="12"/>
  <c r="J287" i="12"/>
  <c r="N287" i="12"/>
  <c r="G232" i="12"/>
  <c r="H232" i="12" s="1"/>
  <c r="I220" i="12"/>
  <c r="N218" i="12"/>
  <c r="J218" i="12"/>
  <c r="N247" i="12"/>
  <c r="J247" i="12"/>
  <c r="J204" i="12"/>
  <c r="N204" i="12"/>
  <c r="O202" i="12"/>
  <c r="K202" i="12"/>
  <c r="H202" i="12"/>
  <c r="I202" i="12" s="1"/>
  <c r="O196" i="12"/>
  <c r="K196" i="12"/>
  <c r="O185" i="12"/>
  <c r="K185" i="12"/>
  <c r="B5" i="2"/>
  <c r="E4" i="2"/>
  <c r="O258" i="12"/>
  <c r="K258" i="12"/>
  <c r="K207" i="12"/>
  <c r="O207" i="12"/>
  <c r="L192" i="12"/>
  <c r="P192" i="12"/>
  <c r="N190" i="12"/>
  <c r="J190" i="12"/>
  <c r="P183" i="12"/>
  <c r="L183" i="12"/>
  <c r="N167" i="12"/>
  <c r="J167" i="12"/>
  <c r="P157" i="12"/>
  <c r="L157" i="12"/>
  <c r="N151" i="12"/>
  <c r="J151" i="12"/>
  <c r="P137" i="12"/>
  <c r="L137" i="12"/>
  <c r="N131" i="12"/>
  <c r="J131" i="12"/>
  <c r="P164" i="12"/>
  <c r="L164" i="12"/>
  <c r="O161" i="12"/>
  <c r="K161" i="12"/>
  <c r="P148" i="12"/>
  <c r="L148" i="12"/>
  <c r="O145" i="12"/>
  <c r="K145" i="12"/>
  <c r="R142" i="12"/>
  <c r="R140" i="12"/>
  <c r="O125" i="12"/>
  <c r="K125" i="12"/>
  <c r="O192" i="12"/>
  <c r="K192" i="12"/>
  <c r="K187" i="12"/>
  <c r="O187" i="12"/>
  <c r="H163" i="12"/>
  <c r="I163" i="12" s="1"/>
  <c r="H147" i="12"/>
  <c r="I147" i="12" s="1"/>
  <c r="I164" i="12"/>
  <c r="N117" i="12"/>
  <c r="J117" i="12"/>
  <c r="N101" i="12"/>
  <c r="J101" i="12"/>
  <c r="I125" i="12"/>
  <c r="G119" i="12"/>
  <c r="H119" i="12" s="1"/>
  <c r="G103" i="12"/>
  <c r="G127" i="12"/>
  <c r="H127" i="12" s="1"/>
  <c r="P114" i="12"/>
  <c r="L114" i="12"/>
  <c r="O88" i="12"/>
  <c r="K88" i="12"/>
  <c r="H88" i="12"/>
  <c r="O132" i="12"/>
  <c r="K132" i="12"/>
  <c r="J115" i="12"/>
  <c r="N115" i="12"/>
  <c r="J99" i="12"/>
  <c r="N99" i="12"/>
  <c r="P85" i="12"/>
  <c r="L85" i="12"/>
  <c r="P81" i="12"/>
  <c r="L81" i="12"/>
  <c r="N71" i="12"/>
  <c r="J71" i="12"/>
  <c r="N87" i="12"/>
  <c r="J87" i="12"/>
  <c r="O50" i="12"/>
  <c r="K50" i="12"/>
  <c r="O34" i="12"/>
  <c r="K34" i="12"/>
  <c r="N80" i="12"/>
  <c r="J80" i="12"/>
  <c r="G80" i="12"/>
  <c r="H80" i="12" s="1"/>
  <c r="N75" i="12"/>
  <c r="J75" i="12"/>
  <c r="N72" i="12"/>
  <c r="J72" i="12"/>
  <c r="G72" i="12"/>
  <c r="H72" i="12" s="1"/>
  <c r="N67" i="12"/>
  <c r="J67" i="12"/>
  <c r="N54" i="12"/>
  <c r="J54" i="12"/>
  <c r="O49" i="12"/>
  <c r="K49" i="12"/>
  <c r="N38" i="12"/>
  <c r="J38" i="12"/>
  <c r="O33" i="12"/>
  <c r="K33" i="12"/>
  <c r="N61" i="12"/>
  <c r="J61" i="12"/>
  <c r="N45" i="12"/>
  <c r="J45" i="12"/>
  <c r="N29" i="12"/>
  <c r="J29" i="12"/>
  <c r="P16" i="12"/>
  <c r="L16" i="12"/>
  <c r="H45" i="12"/>
  <c r="O26" i="12"/>
  <c r="K26" i="12"/>
  <c r="N14" i="12"/>
  <c r="J14" i="12"/>
  <c r="R7" i="12"/>
  <c r="O15" i="12"/>
  <c r="K15" i="12"/>
  <c r="R21" i="12"/>
  <c r="G18" i="12"/>
  <c r="R9" i="12"/>
  <c r="H54" i="12"/>
  <c r="K16" i="12"/>
  <c r="O16" i="12"/>
  <c r="P324" i="12"/>
  <c r="L324" i="12"/>
  <c r="N323" i="12"/>
  <c r="J323" i="12"/>
  <c r="G323" i="12"/>
  <c r="H323" i="12" s="1"/>
  <c r="P303" i="12"/>
  <c r="L303" i="12"/>
  <c r="N319" i="12"/>
  <c r="J319" i="12"/>
  <c r="P309" i="12"/>
  <c r="L309" i="12"/>
  <c r="N305" i="12"/>
  <c r="J305" i="12"/>
  <c r="H305" i="12"/>
  <c r="O311" i="12"/>
  <c r="K311" i="12"/>
  <c r="N311" i="12"/>
  <c r="J311" i="12"/>
  <c r="P296" i="12"/>
  <c r="L296" i="12"/>
  <c r="I329" i="12"/>
  <c r="G322" i="12"/>
  <c r="N309" i="12"/>
  <c r="J309" i="12"/>
  <c r="I309" i="12"/>
  <c r="O291" i="12"/>
  <c r="K291" i="12"/>
  <c r="H327" i="12"/>
  <c r="N314" i="12"/>
  <c r="J314" i="12"/>
  <c r="P292" i="12"/>
  <c r="L292" i="12"/>
  <c r="O270" i="12"/>
  <c r="K270" i="12"/>
  <c r="P258" i="12"/>
  <c r="L258" i="12"/>
  <c r="N257" i="12"/>
  <c r="J257" i="12"/>
  <c r="H257" i="12"/>
  <c r="I257" i="12" s="1"/>
  <c r="O253" i="12"/>
  <c r="K253" i="12"/>
  <c r="H253" i="12"/>
  <c r="H291" i="12"/>
  <c r="G265" i="12"/>
  <c r="H293" i="12"/>
  <c r="J289" i="12"/>
  <c r="N289" i="12"/>
  <c r="G289" i="12"/>
  <c r="O234" i="12"/>
  <c r="K234" i="12"/>
  <c r="P229" i="12"/>
  <c r="O212" i="12"/>
  <c r="K212" i="12"/>
  <c r="O282" i="12"/>
  <c r="K282" i="12"/>
  <c r="K266" i="12"/>
  <c r="O266" i="12"/>
  <c r="K219" i="12"/>
  <c r="O219" i="12"/>
  <c r="G218" i="12"/>
  <c r="I212" i="12"/>
  <c r="O200" i="12"/>
  <c r="K200" i="12"/>
  <c r="P189" i="12"/>
  <c r="L189" i="12"/>
  <c r="N272" i="12"/>
  <c r="J272" i="12"/>
  <c r="G247" i="12"/>
  <c r="H247" i="12" s="1"/>
  <c r="P195" i="12"/>
  <c r="L195" i="12"/>
  <c r="I258" i="12"/>
  <c r="G250" i="12"/>
  <c r="H250" i="12" s="1"/>
  <c r="N222" i="12"/>
  <c r="J222" i="12"/>
  <c r="J210" i="12"/>
  <c r="N210" i="12"/>
  <c r="G204" i="12"/>
  <c r="N182" i="12"/>
  <c r="J182" i="12"/>
  <c r="P161" i="12"/>
  <c r="L161" i="12"/>
  <c r="N155" i="12"/>
  <c r="J155" i="12"/>
  <c r="P145" i="12"/>
  <c r="L145" i="12"/>
  <c r="N135" i="12"/>
  <c r="J135" i="12"/>
  <c r="P125" i="12"/>
  <c r="L125" i="12"/>
  <c r="O170" i="12"/>
  <c r="K170" i="12"/>
  <c r="O157" i="12"/>
  <c r="K157" i="12"/>
  <c r="P144" i="12"/>
  <c r="L144" i="12"/>
  <c r="O137" i="12"/>
  <c r="K137" i="12"/>
  <c r="N187" i="12"/>
  <c r="J187" i="12"/>
  <c r="H187" i="12"/>
  <c r="I187" i="12" s="1"/>
  <c r="G135" i="12"/>
  <c r="H135" i="12" s="1"/>
  <c r="P123" i="12"/>
  <c r="L123" i="12"/>
  <c r="O113" i="12"/>
  <c r="K113" i="12"/>
  <c r="O97" i="12"/>
  <c r="K97" i="12"/>
  <c r="G131" i="12"/>
  <c r="H131" i="12" s="1"/>
  <c r="O121" i="12"/>
  <c r="K121" i="12"/>
  <c r="J111" i="12"/>
  <c r="N111" i="12"/>
  <c r="O107" i="12"/>
  <c r="K107" i="12"/>
  <c r="I105" i="12"/>
  <c r="I137" i="12"/>
  <c r="I132" i="12"/>
  <c r="L93" i="12"/>
  <c r="P93" i="12"/>
  <c r="P77" i="12"/>
  <c r="L77" i="12"/>
  <c r="H115" i="12"/>
  <c r="N76" i="12"/>
  <c r="J76" i="12"/>
  <c r="G71" i="12"/>
  <c r="G87" i="12"/>
  <c r="P66" i="12"/>
  <c r="L66" i="12"/>
  <c r="O54" i="12"/>
  <c r="K54" i="12"/>
  <c r="O38" i="12"/>
  <c r="K38" i="12"/>
  <c r="I81" i="12"/>
  <c r="G75" i="12"/>
  <c r="H75" i="12" s="1"/>
  <c r="G67" i="12"/>
  <c r="H67" i="12" s="1"/>
  <c r="N58" i="12"/>
  <c r="J58" i="12"/>
  <c r="O53" i="12"/>
  <c r="K53" i="12"/>
  <c r="N42" i="12"/>
  <c r="J42" i="12"/>
  <c r="O37" i="12"/>
  <c r="K37" i="12"/>
  <c r="G76" i="12"/>
  <c r="H76" i="12" s="1"/>
  <c r="N57" i="12"/>
  <c r="J57" i="12"/>
  <c r="P47" i="12"/>
  <c r="O44" i="12"/>
  <c r="K44" i="12"/>
  <c r="N41" i="12"/>
  <c r="J41" i="12"/>
  <c r="P31" i="12"/>
  <c r="L31" i="12"/>
  <c r="O28" i="12"/>
  <c r="K28" i="12"/>
  <c r="P12" i="12"/>
  <c r="L12" i="12"/>
  <c r="H44" i="12"/>
  <c r="R19" i="12"/>
  <c r="G14" i="12"/>
  <c r="H57" i="12"/>
  <c r="O12" i="12"/>
  <c r="K12" i="12"/>
  <c r="R8" i="12"/>
  <c r="R5" i="12"/>
  <c r="I31" i="12"/>
  <c r="M13" i="12"/>
  <c r="Q13" i="12"/>
  <c r="R10" i="12"/>
  <c r="B4" i="13"/>
  <c r="C5" i="12" s="1"/>
  <c r="C4" i="10" s="1"/>
  <c r="A5" i="13"/>
  <c r="N326" i="12"/>
  <c r="J326" i="12"/>
  <c r="H326" i="12"/>
  <c r="P321" i="12"/>
  <c r="L321" i="12"/>
  <c r="N315" i="12"/>
  <c r="J315" i="12"/>
  <c r="G315" i="12"/>
  <c r="H315" i="12" s="1"/>
  <c r="O305" i="12"/>
  <c r="K305" i="12"/>
  <c r="P311" i="12"/>
  <c r="L311" i="12"/>
  <c r="N310" i="12"/>
  <c r="J310" i="12"/>
  <c r="I321" i="12"/>
  <c r="O309" i="12"/>
  <c r="K309" i="12"/>
  <c r="R300" i="12"/>
  <c r="P294" i="12"/>
  <c r="L294" i="12"/>
  <c r="P284" i="12"/>
  <c r="L284" i="12"/>
  <c r="I296" i="12"/>
  <c r="I324" i="12"/>
  <c r="I314" i="12"/>
  <c r="O314" i="12"/>
  <c r="K314" i="12"/>
  <c r="O285" i="12"/>
  <c r="K285" i="12"/>
  <c r="O263" i="12"/>
  <c r="K263" i="12"/>
  <c r="N255" i="12"/>
  <c r="J255" i="12"/>
  <c r="H255" i="12"/>
  <c r="K251" i="12"/>
  <c r="O251" i="12"/>
  <c r="H251" i="12"/>
  <c r="N279" i="12"/>
  <c r="J279" i="12"/>
  <c r="I279" i="12"/>
  <c r="I270" i="12"/>
  <c r="O249" i="12"/>
  <c r="K249" i="12"/>
  <c r="P234" i="12"/>
  <c r="L234" i="12"/>
  <c r="P212" i="12"/>
  <c r="L212" i="12"/>
  <c r="O259" i="12"/>
  <c r="K259" i="12"/>
  <c r="N254" i="12"/>
  <c r="J254" i="12"/>
  <c r="O241" i="12"/>
  <c r="K241" i="12"/>
  <c r="O216" i="12"/>
  <c r="K216" i="12"/>
  <c r="H249" i="12"/>
  <c r="I249" i="12" s="1"/>
  <c r="O210" i="12"/>
  <c r="K210" i="12"/>
  <c r="G287" i="12"/>
  <c r="I282" i="12"/>
  <c r="I266" i="12"/>
  <c r="N261" i="12"/>
  <c r="J261" i="12"/>
  <c r="P244" i="12"/>
  <c r="L244" i="12"/>
  <c r="L199" i="12"/>
  <c r="P199" i="12"/>
  <c r="H194" i="12"/>
  <c r="I194" i="12" s="1"/>
  <c r="J194" i="12"/>
  <c r="N194" i="12"/>
  <c r="H200" i="12"/>
  <c r="N200" i="12"/>
  <c r="J200" i="12"/>
  <c r="K294" i="12"/>
  <c r="O294" i="12"/>
  <c r="H285" i="12"/>
  <c r="I230" i="12"/>
  <c r="G222" i="12"/>
  <c r="N214" i="12"/>
  <c r="J214" i="12"/>
  <c r="J196" i="12"/>
  <c r="N196" i="12"/>
  <c r="G190" i="12"/>
  <c r="G182" i="12"/>
  <c r="I207" i="12"/>
  <c r="N186" i="12"/>
  <c r="J186" i="12"/>
  <c r="O183" i="12"/>
  <c r="K183" i="12"/>
  <c r="P165" i="12"/>
  <c r="L165" i="12"/>
  <c r="N159" i="12"/>
  <c r="J159" i="12"/>
  <c r="P149" i="12"/>
  <c r="L149" i="12"/>
  <c r="N143" i="12"/>
  <c r="J143" i="12"/>
  <c r="P156" i="12"/>
  <c r="L156" i="12"/>
  <c r="O153" i="12"/>
  <c r="K153" i="12"/>
  <c r="R141" i="12"/>
  <c r="R139" i="12"/>
  <c r="O133" i="12"/>
  <c r="K133" i="12"/>
  <c r="H159" i="12"/>
  <c r="I159" i="12" s="1"/>
  <c r="H143" i="12"/>
  <c r="I143" i="12" s="1"/>
  <c r="G155" i="12"/>
  <c r="O148" i="12"/>
  <c r="K148" i="12"/>
  <c r="I133" i="12"/>
  <c r="H186" i="12"/>
  <c r="G151" i="12"/>
  <c r="H151" i="12" s="1"/>
  <c r="O144" i="12"/>
  <c r="K144" i="12"/>
  <c r="G117" i="12"/>
  <c r="H117" i="12" s="1"/>
  <c r="G101" i="12"/>
  <c r="H101" i="12" s="1"/>
  <c r="O156" i="12"/>
  <c r="K156" i="12"/>
  <c r="I145" i="12"/>
  <c r="J109" i="12"/>
  <c r="H109" i="12"/>
  <c r="I109" i="12" s="1"/>
  <c r="N109" i="12"/>
  <c r="Q93" i="12"/>
  <c r="M93" i="12"/>
  <c r="N84" i="12"/>
  <c r="J84" i="12"/>
  <c r="G84" i="12"/>
  <c r="I157" i="12"/>
  <c r="J113" i="12"/>
  <c r="N113" i="12"/>
  <c r="G111" i="12"/>
  <c r="J97" i="12"/>
  <c r="N97" i="12"/>
  <c r="J91" i="12"/>
  <c r="N91" i="12"/>
  <c r="P73" i="12"/>
  <c r="L73" i="12"/>
  <c r="H113" i="12"/>
  <c r="N79" i="12"/>
  <c r="J79" i="12"/>
  <c r="N83" i="12"/>
  <c r="J83" i="12"/>
  <c r="O58" i="12"/>
  <c r="K58" i="12"/>
  <c r="O42" i="12"/>
  <c r="K42" i="12"/>
  <c r="H99" i="12"/>
  <c r="I99" i="12" s="1"/>
  <c r="O66" i="12"/>
  <c r="K66" i="12"/>
  <c r="I66" i="12"/>
  <c r="P62" i="12"/>
  <c r="L62" i="12"/>
  <c r="O57" i="12"/>
  <c r="K57" i="12"/>
  <c r="N46" i="12"/>
  <c r="J46" i="12"/>
  <c r="O41" i="12"/>
  <c r="K41" i="12"/>
  <c r="N30" i="12"/>
  <c r="J30" i="12"/>
  <c r="K73" i="12"/>
  <c r="O73" i="12"/>
  <c r="J63" i="12"/>
  <c r="N63" i="12"/>
  <c r="O56" i="12"/>
  <c r="K56" i="12"/>
  <c r="N53" i="12"/>
  <c r="J53" i="12"/>
  <c r="N37" i="12"/>
  <c r="J37" i="12"/>
  <c r="P27" i="12"/>
  <c r="L27" i="12"/>
  <c r="H61" i="12"/>
  <c r="I61" i="12" s="1"/>
  <c r="H29" i="12"/>
  <c r="P17" i="12"/>
  <c r="L17" i="12"/>
  <c r="H56" i="12"/>
  <c r="H46" i="12"/>
  <c r="I17" i="12"/>
  <c r="H58" i="12"/>
  <c r="I58" i="12" s="1"/>
  <c r="N15" i="12"/>
  <c r="J15" i="12"/>
  <c r="H38" i="12"/>
  <c r="I38" i="12" s="1"/>
  <c r="I27" i="12"/>
  <c r="I12" i="12"/>
  <c r="A80" i="9"/>
  <c r="B79" i="9"/>
  <c r="C96" i="12" s="1"/>
  <c r="C95" i="10" s="1"/>
  <c r="P316" i="12"/>
  <c r="L316" i="12"/>
  <c r="N318" i="12"/>
  <c r="J318" i="12"/>
  <c r="H318" i="12"/>
  <c r="I318" i="12" s="1"/>
  <c r="O298" i="12"/>
  <c r="K298" i="12"/>
  <c r="O293" i="12"/>
  <c r="K293" i="12"/>
  <c r="N281" i="12"/>
  <c r="J281" i="12"/>
  <c r="J277" i="12"/>
  <c r="N277" i="12"/>
  <c r="H277" i="12"/>
  <c r="R301" i="12"/>
  <c r="G281" i="12"/>
  <c r="H281" i="12" s="1"/>
  <c r="I303" i="12"/>
  <c r="N297" i="12"/>
  <c r="J297" i="12"/>
  <c r="K286" i="12"/>
  <c r="O286" i="12"/>
  <c r="P280" i="12"/>
  <c r="L280" i="12"/>
  <c r="P274" i="12"/>
  <c r="P262" i="12"/>
  <c r="L262" i="12"/>
  <c r="O275" i="12"/>
  <c r="K275" i="12"/>
  <c r="J245" i="12"/>
  <c r="N245" i="12"/>
  <c r="I280" i="12"/>
  <c r="K279" i="12"/>
  <c r="O279" i="12"/>
  <c r="O257" i="12"/>
  <c r="K257" i="12"/>
  <c r="I292" i="12"/>
  <c r="H283" i="12"/>
  <c r="I283" i="12" s="1"/>
  <c r="J273" i="12"/>
  <c r="N273" i="12"/>
  <c r="G245" i="12"/>
  <c r="H245" i="12" s="1"/>
  <c r="O220" i="12"/>
  <c r="K220" i="12"/>
  <c r="N239" i="12"/>
  <c r="J239" i="12"/>
  <c r="O243" i="12"/>
  <c r="K243" i="12"/>
  <c r="I234" i="12"/>
  <c r="N232" i="12"/>
  <c r="J232" i="12"/>
  <c r="M195" i="12"/>
  <c r="Q195" i="12"/>
  <c r="J206" i="12"/>
  <c r="N206" i="12"/>
  <c r="O199" i="12"/>
  <c r="K199" i="12"/>
  <c r="I294" i="12"/>
  <c r="I284" i="12"/>
  <c r="N250" i="12"/>
  <c r="J250" i="12"/>
  <c r="I219" i="12"/>
  <c r="I216" i="12"/>
  <c r="O214" i="12"/>
  <c r="K214" i="12"/>
  <c r="J208" i="12"/>
  <c r="N208" i="12"/>
  <c r="G206" i="12"/>
  <c r="H196" i="12"/>
  <c r="O186" i="12"/>
  <c r="K186" i="12"/>
  <c r="J168" i="12"/>
  <c r="N168" i="12"/>
  <c r="N163" i="12"/>
  <c r="J163" i="12"/>
  <c r="P153" i="12"/>
  <c r="L153" i="12"/>
  <c r="N147" i="12"/>
  <c r="J147" i="12"/>
  <c r="P133" i="12"/>
  <c r="L133" i="12"/>
  <c r="N127" i="12"/>
  <c r="J127" i="12"/>
  <c r="K189" i="12"/>
  <c r="O189" i="12"/>
  <c r="N183" i="12"/>
  <c r="J183" i="12"/>
  <c r="O165" i="12"/>
  <c r="K165" i="12"/>
  <c r="O149" i="12"/>
  <c r="K149" i="12"/>
  <c r="P132" i="12"/>
  <c r="L132" i="12"/>
  <c r="O129" i="12"/>
  <c r="K129" i="12"/>
  <c r="P112" i="12"/>
  <c r="L112" i="12"/>
  <c r="P96" i="12"/>
  <c r="L96" i="12"/>
  <c r="H210" i="12"/>
  <c r="H185" i="12"/>
  <c r="I185" i="12" s="1"/>
  <c r="O164" i="12"/>
  <c r="K164" i="12"/>
  <c r="I153" i="12"/>
  <c r="I148" i="12"/>
  <c r="N119" i="12"/>
  <c r="J119" i="12"/>
  <c r="O115" i="12"/>
  <c r="K115" i="12"/>
  <c r="N103" i="12"/>
  <c r="J103" i="12"/>
  <c r="O99" i="12"/>
  <c r="K99" i="12"/>
  <c r="G167" i="12"/>
  <c r="I149" i="12"/>
  <c r="I144" i="12"/>
  <c r="O91" i="12"/>
  <c r="K91" i="12"/>
  <c r="I161" i="12"/>
  <c r="I156" i="12"/>
  <c r="O123" i="12"/>
  <c r="K123" i="12"/>
  <c r="O105" i="12"/>
  <c r="K105" i="12"/>
  <c r="J95" i="12"/>
  <c r="H95" i="12"/>
  <c r="N95" i="12"/>
  <c r="N89" i="12"/>
  <c r="J89" i="12"/>
  <c r="G89" i="12"/>
  <c r="K112" i="12"/>
  <c r="O112" i="12"/>
  <c r="K96" i="12"/>
  <c r="O96" i="12"/>
  <c r="G79" i="12"/>
  <c r="N68" i="12"/>
  <c r="J68" i="12"/>
  <c r="H91" i="12"/>
  <c r="I91" i="12" s="1"/>
  <c r="G83" i="12"/>
  <c r="H83" i="12" s="1"/>
  <c r="O63" i="12"/>
  <c r="K63" i="12"/>
  <c r="O46" i="12"/>
  <c r="K46" i="12"/>
  <c r="O30" i="12"/>
  <c r="K30" i="12"/>
  <c r="H97" i="12"/>
  <c r="I85" i="12"/>
  <c r="P70" i="12"/>
  <c r="L70" i="12"/>
  <c r="K61" i="12"/>
  <c r="O61" i="12"/>
  <c r="N50" i="12"/>
  <c r="J50" i="12"/>
  <c r="O45" i="12"/>
  <c r="K45" i="12"/>
  <c r="N34" i="12"/>
  <c r="J34" i="12"/>
  <c r="O29" i="12"/>
  <c r="K29" i="12"/>
  <c r="I114" i="12"/>
  <c r="G68" i="12"/>
  <c r="K62" i="12"/>
  <c r="O62" i="12"/>
  <c r="O52" i="12"/>
  <c r="K52" i="12"/>
  <c r="N49" i="12"/>
  <c r="J49" i="12"/>
  <c r="O36" i="12"/>
  <c r="K36" i="12"/>
  <c r="N33" i="12"/>
  <c r="J33" i="12"/>
  <c r="P23" i="12"/>
  <c r="L23" i="12"/>
  <c r="H50" i="12"/>
  <c r="I50" i="12" s="1"/>
  <c r="H28" i="12"/>
  <c r="N11" i="12"/>
  <c r="J11" i="12"/>
  <c r="H41" i="12"/>
  <c r="N26" i="12"/>
  <c r="J26" i="12"/>
  <c r="I16" i="12"/>
  <c r="H53" i="12"/>
  <c r="N18" i="12"/>
  <c r="J18" i="12"/>
  <c r="I47" i="12"/>
  <c r="H33" i="12"/>
  <c r="I33" i="12" s="1"/>
  <c r="N25" i="12"/>
  <c r="J25" i="12"/>
  <c r="H25" i="12"/>
  <c r="I25" i="12" s="1"/>
  <c r="N22" i="12"/>
  <c r="J22" i="12"/>
  <c r="G22" i="12"/>
  <c r="H22" i="12" s="1"/>
  <c r="G11" i="12"/>
  <c r="L108" i="12" l="1"/>
  <c r="I166" i="12"/>
  <c r="I233" i="12"/>
  <c r="P108" i="12"/>
  <c r="R108" i="12" s="1"/>
  <c r="M108" i="12"/>
  <c r="I43" i="12"/>
  <c r="M43" i="12" s="1"/>
  <c r="K90" i="12"/>
  <c r="L295" i="12"/>
  <c r="M193" i="12"/>
  <c r="Q160" i="12"/>
  <c r="O160" i="12"/>
  <c r="P150" i="12"/>
  <c r="R193" i="12"/>
  <c r="O60" i="12"/>
  <c r="K272" i="12"/>
  <c r="L160" i="12"/>
  <c r="O330" i="12"/>
  <c r="H330" i="12"/>
  <c r="K160" i="12"/>
  <c r="M65" i="12"/>
  <c r="P160" i="12"/>
  <c r="M225" i="12"/>
  <c r="Q225" i="12"/>
  <c r="R225" i="12" s="1"/>
  <c r="P295" i="12"/>
  <c r="R295" i="12" s="1"/>
  <c r="M211" i="12"/>
  <c r="M92" i="12"/>
  <c r="L43" i="12"/>
  <c r="P35" i="12"/>
  <c r="M295" i="12"/>
  <c r="P104" i="12"/>
  <c r="O90" i="12"/>
  <c r="L278" i="12"/>
  <c r="L193" i="12"/>
  <c r="L233" i="12"/>
  <c r="O233" i="12"/>
  <c r="H32" i="12"/>
  <c r="L32" i="12" s="1"/>
  <c r="K233" i="12"/>
  <c r="Q228" i="12"/>
  <c r="R228" i="12" s="1"/>
  <c r="M228" i="12"/>
  <c r="L188" i="12"/>
  <c r="O213" i="12"/>
  <c r="P276" i="12"/>
  <c r="L286" i="12"/>
  <c r="H238" i="12"/>
  <c r="I238" i="12" s="1"/>
  <c r="M238" i="12" s="1"/>
  <c r="P15" i="12"/>
  <c r="L308" i="12"/>
  <c r="P286" i="12"/>
  <c r="P188" i="12"/>
  <c r="R188" i="12" s="1"/>
  <c r="K32" i="12"/>
  <c r="M188" i="12"/>
  <c r="I136" i="12"/>
  <c r="Q136" i="12" s="1"/>
  <c r="I276" i="12"/>
  <c r="M276" i="12" s="1"/>
  <c r="M69" i="12"/>
  <c r="Q274" i="12"/>
  <c r="P246" i="12"/>
  <c r="P288" i="12"/>
  <c r="R317" i="12"/>
  <c r="P308" i="12"/>
  <c r="P136" i="12"/>
  <c r="H213" i="12"/>
  <c r="L213" i="12" s="1"/>
  <c r="I246" i="12"/>
  <c r="M246" i="12" s="1"/>
  <c r="L15" i="12"/>
  <c r="L274" i="12"/>
  <c r="P184" i="12"/>
  <c r="P307" i="12"/>
  <c r="I288" i="12"/>
  <c r="M288" i="12" s="1"/>
  <c r="P65" i="12"/>
  <c r="R65" i="12" s="1"/>
  <c r="R24" i="12"/>
  <c r="H198" i="12"/>
  <c r="I198" i="12" s="1"/>
  <c r="K198" i="12"/>
  <c r="L65" i="12"/>
  <c r="K313" i="12"/>
  <c r="L37" i="12"/>
  <c r="I37" i="12"/>
  <c r="Q37" i="12" s="1"/>
  <c r="R37" i="12" s="1"/>
  <c r="M123" i="12"/>
  <c r="M317" i="12"/>
  <c r="L203" i="12"/>
  <c r="I307" i="12"/>
  <c r="Q307" i="12" s="1"/>
  <c r="L120" i="12"/>
  <c r="L78" i="12"/>
  <c r="P69" i="12"/>
  <c r="R69" i="12" s="1"/>
  <c r="P120" i="12"/>
  <c r="R120" i="12" s="1"/>
  <c r="I34" i="12"/>
  <c r="M34" i="12" s="1"/>
  <c r="I203" i="12"/>
  <c r="Q203" i="12" s="1"/>
  <c r="L191" i="12"/>
  <c r="O203" i="12"/>
  <c r="M192" i="12"/>
  <c r="P252" i="12"/>
  <c r="Q78" i="12"/>
  <c r="P82" i="12"/>
  <c r="I191" i="12"/>
  <c r="M191" i="12" s="1"/>
  <c r="L69" i="12"/>
  <c r="I35" i="12"/>
  <c r="Q35" i="12" s="1"/>
  <c r="P78" i="12"/>
  <c r="K203" i="12"/>
  <c r="P42" i="12"/>
  <c r="I209" i="12"/>
  <c r="M209" i="12" s="1"/>
  <c r="L209" i="12"/>
  <c r="K136" i="12"/>
  <c r="I278" i="12"/>
  <c r="Q278" i="12" s="1"/>
  <c r="R278" i="12" s="1"/>
  <c r="K254" i="12"/>
  <c r="O136" i="12"/>
  <c r="O128" i="12"/>
  <c r="L214" i="12"/>
  <c r="M312" i="12"/>
  <c r="I214" i="12"/>
  <c r="Q214" i="12" s="1"/>
  <c r="R214" i="12" s="1"/>
  <c r="H60" i="12"/>
  <c r="I60" i="12" s="1"/>
  <c r="L104" i="12"/>
  <c r="P170" i="12"/>
  <c r="R170" i="12" s="1"/>
  <c r="Q134" i="12"/>
  <c r="M134" i="12"/>
  <c r="L100" i="12"/>
  <c r="I40" i="12"/>
  <c r="Q40" i="12" s="1"/>
  <c r="M215" i="12"/>
  <c r="M240" i="12"/>
  <c r="R13" i="12"/>
  <c r="P242" i="12"/>
  <c r="L242" i="12"/>
  <c r="I100" i="12"/>
  <c r="M100" i="12" s="1"/>
  <c r="P209" i="12"/>
  <c r="K252" i="12"/>
  <c r="L215" i="12"/>
  <c r="L240" i="12"/>
  <c r="I30" i="12"/>
  <c r="Q30" i="12" s="1"/>
  <c r="R30" i="12" s="1"/>
  <c r="K40" i="12"/>
  <c r="L312" i="12"/>
  <c r="L40" i="12"/>
  <c r="K86" i="12"/>
  <c r="O252" i="12"/>
  <c r="P215" i="12"/>
  <c r="R215" i="12" s="1"/>
  <c r="P240" i="12"/>
  <c r="R240" i="12" s="1"/>
  <c r="O40" i="12"/>
  <c r="K128" i="12"/>
  <c r="I252" i="12"/>
  <c r="M252" i="12" s="1"/>
  <c r="P312" i="12"/>
  <c r="R312" i="12" s="1"/>
  <c r="M229" i="12"/>
  <c r="I242" i="12"/>
  <c r="I325" i="12"/>
  <c r="P325" i="12"/>
  <c r="R74" i="12"/>
  <c r="K82" i="12"/>
  <c r="I116" i="12"/>
  <c r="Q116" i="12" s="1"/>
  <c r="R116" i="12" s="1"/>
  <c r="R274" i="12"/>
  <c r="R73" i="12"/>
  <c r="L102" i="12"/>
  <c r="L211" i="12"/>
  <c r="R77" i="12"/>
  <c r="I184" i="12"/>
  <c r="Q184" i="12" s="1"/>
  <c r="L116" i="12"/>
  <c r="Q102" i="12"/>
  <c r="K238" i="12"/>
  <c r="P39" i="12"/>
  <c r="I82" i="12"/>
  <c r="M82" i="12" s="1"/>
  <c r="Q288" i="12"/>
  <c r="O82" i="12"/>
  <c r="P102" i="12"/>
  <c r="R244" i="12"/>
  <c r="P211" i="12"/>
  <c r="R211" i="12" s="1"/>
  <c r="P49" i="12"/>
  <c r="I128" i="12"/>
  <c r="Q128" i="12" s="1"/>
  <c r="P128" i="12"/>
  <c r="L128" i="12"/>
  <c r="L166" i="12"/>
  <c r="O264" i="12"/>
  <c r="K264" i="12"/>
  <c r="H264" i="12"/>
  <c r="K209" i="12"/>
  <c r="O209" i="12"/>
  <c r="I90" i="12"/>
  <c r="P90" i="12"/>
  <c r="L90" i="12"/>
  <c r="Q122" i="12"/>
  <c r="M122" i="12"/>
  <c r="L134" i="12"/>
  <c r="P134" i="12"/>
  <c r="I181" i="12"/>
  <c r="Q181" i="12" s="1"/>
  <c r="L181" i="12"/>
  <c r="K181" i="12"/>
  <c r="O181" i="12"/>
  <c r="K208" i="12"/>
  <c r="Q183" i="12"/>
  <c r="R183" i="12" s="1"/>
  <c r="M150" i="12"/>
  <c r="Q150" i="12"/>
  <c r="L170" i="12"/>
  <c r="L150" i="12"/>
  <c r="M286" i="12"/>
  <c r="Q286" i="12"/>
  <c r="Q15" i="12"/>
  <c r="R316" i="12"/>
  <c r="R123" i="12"/>
  <c r="M112" i="12"/>
  <c r="K124" i="12"/>
  <c r="O124" i="12"/>
  <c r="H124" i="12"/>
  <c r="I154" i="12"/>
  <c r="P154" i="12"/>
  <c r="H272" i="12"/>
  <c r="Q169" i="12"/>
  <c r="M169" i="12"/>
  <c r="Q201" i="12"/>
  <c r="M201" i="12"/>
  <c r="L130" i="12"/>
  <c r="P130" i="12"/>
  <c r="L86" i="12"/>
  <c r="P86" i="12"/>
  <c r="R70" i="12"/>
  <c r="O86" i="12"/>
  <c r="P122" i="12"/>
  <c r="O152" i="12"/>
  <c r="O313" i="12"/>
  <c r="M165" i="12"/>
  <c r="R229" i="12"/>
  <c r="K98" i="12"/>
  <c r="O98" i="12"/>
  <c r="H98" i="12"/>
  <c r="O271" i="12"/>
  <c r="H271" i="12"/>
  <c r="I271" i="12" s="1"/>
  <c r="K271" i="12"/>
  <c r="K94" i="12"/>
  <c r="O94" i="12"/>
  <c r="H94" i="12"/>
  <c r="I94" i="12" s="1"/>
  <c r="H48" i="12"/>
  <c r="I48" i="12" s="1"/>
  <c r="L169" i="12"/>
  <c r="K48" i="12"/>
  <c r="R192" i="12"/>
  <c r="O130" i="12"/>
  <c r="K130" i="12"/>
  <c r="I130" i="12"/>
  <c r="I86" i="12"/>
  <c r="M86" i="12" s="1"/>
  <c r="L152" i="12"/>
  <c r="P169" i="12"/>
  <c r="R195" i="12"/>
  <c r="Q241" i="12"/>
  <c r="R241" i="12" s="1"/>
  <c r="P260" i="12"/>
  <c r="L260" i="12"/>
  <c r="I260" i="12"/>
  <c r="L254" i="12"/>
  <c r="I254" i="12"/>
  <c r="Q254" i="12" s="1"/>
  <c r="P254" i="12"/>
  <c r="P221" i="12"/>
  <c r="L221" i="12"/>
  <c r="L208" i="12"/>
  <c r="P208" i="12"/>
  <c r="I208" i="12"/>
  <c r="Q208" i="12" s="1"/>
  <c r="O158" i="12"/>
  <c r="K158" i="12"/>
  <c r="P231" i="12"/>
  <c r="L231" i="12"/>
  <c r="K106" i="12"/>
  <c r="O106" i="12"/>
  <c r="H106" i="12"/>
  <c r="P152" i="12"/>
  <c r="L138" i="12"/>
  <c r="P138" i="12"/>
  <c r="O126" i="12"/>
  <c r="H126" i="12"/>
  <c r="I126" i="12" s="1"/>
  <c r="K126" i="12"/>
  <c r="O51" i="12"/>
  <c r="H51" i="12"/>
  <c r="K51" i="12"/>
  <c r="R199" i="12"/>
  <c r="O254" i="12"/>
  <c r="R262" i="12"/>
  <c r="Q162" i="12"/>
  <c r="I117" i="12"/>
  <c r="Q117" i="12" s="1"/>
  <c r="L129" i="12"/>
  <c r="R93" i="12"/>
  <c r="K319" i="12"/>
  <c r="M170" i="12"/>
  <c r="L313" i="12"/>
  <c r="Q96" i="12"/>
  <c r="R96" i="12" s="1"/>
  <c r="Q152" i="12"/>
  <c r="Q39" i="12"/>
  <c r="M189" i="12"/>
  <c r="Q263" i="12"/>
  <c r="R263" i="12" s="1"/>
  <c r="O110" i="12"/>
  <c r="K110" i="12"/>
  <c r="H110" i="12"/>
  <c r="I110" i="12" s="1"/>
  <c r="O138" i="12"/>
  <c r="K138" i="12"/>
  <c r="I138" i="12"/>
  <c r="O217" i="12"/>
  <c r="K217" i="12"/>
  <c r="I217" i="12"/>
  <c r="I129" i="12"/>
  <c r="O248" i="12"/>
  <c r="K248" i="12"/>
  <c r="K320" i="12"/>
  <c r="O320" i="12"/>
  <c r="H320" i="12"/>
  <c r="H319" i="12"/>
  <c r="H261" i="12"/>
  <c r="O118" i="12"/>
  <c r="H118" i="12"/>
  <c r="K118" i="12"/>
  <c r="H158" i="12"/>
  <c r="L64" i="12"/>
  <c r="P64" i="12"/>
  <c r="K197" i="12"/>
  <c r="O197" i="12"/>
  <c r="H197" i="12"/>
  <c r="P162" i="12"/>
  <c r="L162" i="12"/>
  <c r="R112" i="12"/>
  <c r="I313" i="12"/>
  <c r="M313" i="12" s="1"/>
  <c r="I101" i="12"/>
  <c r="M101" i="12" s="1"/>
  <c r="O208" i="12"/>
  <c r="P256" i="12"/>
  <c r="I256" i="12"/>
  <c r="L256" i="12"/>
  <c r="K328" i="12"/>
  <c r="O328" i="12"/>
  <c r="H328" i="12"/>
  <c r="O221" i="12"/>
  <c r="I221" i="12"/>
  <c r="K221" i="12"/>
  <c r="O231" i="12"/>
  <c r="K231" i="12"/>
  <c r="I231" i="12"/>
  <c r="I64" i="12"/>
  <c r="L39" i="12"/>
  <c r="I49" i="12"/>
  <c r="Q49" i="12" s="1"/>
  <c r="R62" i="12"/>
  <c r="R165" i="12"/>
  <c r="K261" i="12"/>
  <c r="L122" i="12"/>
  <c r="K152" i="12"/>
  <c r="L229" i="12"/>
  <c r="L63" i="12"/>
  <c r="O122" i="12"/>
  <c r="K122" i="12"/>
  <c r="P217" i="12"/>
  <c r="L217" i="12"/>
  <c r="H248" i="12"/>
  <c r="O205" i="12"/>
  <c r="K205" i="12"/>
  <c r="H205" i="12"/>
  <c r="O260" i="12"/>
  <c r="K260" i="12"/>
  <c r="L201" i="12"/>
  <c r="P201" i="12"/>
  <c r="I239" i="12"/>
  <c r="M239" i="12" s="1"/>
  <c r="L42" i="12"/>
  <c r="I26" i="12"/>
  <c r="Q26" i="12" s="1"/>
  <c r="R26" i="12" s="1"/>
  <c r="L26" i="12"/>
  <c r="R23" i="12"/>
  <c r="R189" i="12"/>
  <c r="O180" i="12"/>
  <c r="H180" i="12"/>
  <c r="K180" i="12"/>
  <c r="O55" i="12"/>
  <c r="H55" i="12"/>
  <c r="K55" i="12"/>
  <c r="O59" i="12"/>
  <c r="K59" i="12"/>
  <c r="H59" i="12"/>
  <c r="P146" i="12"/>
  <c r="L146" i="12"/>
  <c r="I146" i="12"/>
  <c r="P63" i="12"/>
  <c r="L30" i="12"/>
  <c r="L34" i="12"/>
  <c r="Q50" i="12"/>
  <c r="M50" i="12"/>
  <c r="M91" i="12"/>
  <c r="Q91" i="12"/>
  <c r="Q283" i="12"/>
  <c r="M283" i="12"/>
  <c r="Q38" i="12"/>
  <c r="M38" i="12"/>
  <c r="M249" i="12"/>
  <c r="Q249" i="12"/>
  <c r="P75" i="12"/>
  <c r="L75" i="12"/>
  <c r="P80" i="12"/>
  <c r="L80" i="12"/>
  <c r="L119" i="12"/>
  <c r="P119" i="12"/>
  <c r="I119" i="12"/>
  <c r="P135" i="12"/>
  <c r="L135" i="12"/>
  <c r="I135" i="12"/>
  <c r="L302" i="12"/>
  <c r="P302" i="12"/>
  <c r="Q61" i="12"/>
  <c r="M61" i="12"/>
  <c r="Q99" i="12"/>
  <c r="M99" i="12"/>
  <c r="P83" i="12"/>
  <c r="L83" i="12"/>
  <c r="L281" i="12"/>
  <c r="P281" i="12"/>
  <c r="Q159" i="12"/>
  <c r="M159" i="12"/>
  <c r="P67" i="12"/>
  <c r="L67" i="12"/>
  <c r="L250" i="12"/>
  <c r="P250" i="12"/>
  <c r="P72" i="12"/>
  <c r="L72" i="12"/>
  <c r="H11" i="12"/>
  <c r="I11" i="12" s="1"/>
  <c r="M114" i="12"/>
  <c r="Q114" i="12"/>
  <c r="R114" i="12" s="1"/>
  <c r="O167" i="12"/>
  <c r="K167" i="12"/>
  <c r="K22" i="12"/>
  <c r="O22" i="12"/>
  <c r="P25" i="12"/>
  <c r="L25" i="12"/>
  <c r="P33" i="12"/>
  <c r="L33" i="12"/>
  <c r="P28" i="12"/>
  <c r="L28" i="12"/>
  <c r="I28" i="12"/>
  <c r="Q42" i="12"/>
  <c r="M42" i="12"/>
  <c r="Q58" i="12"/>
  <c r="M58" i="12"/>
  <c r="L117" i="12"/>
  <c r="P117" i="12"/>
  <c r="P95" i="12"/>
  <c r="L95" i="12"/>
  <c r="Q161" i="12"/>
  <c r="R161" i="12" s="1"/>
  <c r="M161" i="12"/>
  <c r="P185" i="12"/>
  <c r="L185" i="12"/>
  <c r="Q294" i="12"/>
  <c r="R294" i="12" s="1"/>
  <c r="M294" i="12"/>
  <c r="Q202" i="12"/>
  <c r="M202" i="12"/>
  <c r="Q280" i="12"/>
  <c r="R280" i="12" s="1"/>
  <c r="M280" i="12"/>
  <c r="A81" i="9"/>
  <c r="B80" i="9"/>
  <c r="C97" i="12" s="1"/>
  <c r="C96" i="10" s="1"/>
  <c r="Q17" i="12"/>
  <c r="R17" i="12" s="1"/>
  <c r="M17" i="12"/>
  <c r="P56" i="12"/>
  <c r="L56" i="12"/>
  <c r="I56" i="12"/>
  <c r="L76" i="12"/>
  <c r="P76" i="12"/>
  <c r="O111" i="12"/>
  <c r="K111" i="12"/>
  <c r="O84" i="12"/>
  <c r="K84" i="12"/>
  <c r="O151" i="12"/>
  <c r="K151" i="12"/>
  <c r="Q133" i="12"/>
  <c r="R133" i="12" s="1"/>
  <c r="M133" i="12"/>
  <c r="P143" i="12"/>
  <c r="L143" i="12"/>
  <c r="O190" i="12"/>
  <c r="K190" i="12"/>
  <c r="P285" i="12"/>
  <c r="L285" i="12"/>
  <c r="L247" i="12"/>
  <c r="P247" i="12"/>
  <c r="L194" i="12"/>
  <c r="P194" i="12"/>
  <c r="O287" i="12"/>
  <c r="K287" i="12"/>
  <c r="Q270" i="12"/>
  <c r="R270" i="12" s="1"/>
  <c r="M270" i="12"/>
  <c r="L255" i="12"/>
  <c r="P255" i="12"/>
  <c r="M310" i="12"/>
  <c r="Q310" i="12"/>
  <c r="K315" i="12"/>
  <c r="O315" i="12"/>
  <c r="B5" i="13"/>
  <c r="C6" i="12" s="1"/>
  <c r="C5" i="10" s="1"/>
  <c r="A6" i="13"/>
  <c r="K76" i="12"/>
  <c r="O76" i="12"/>
  <c r="I76" i="12"/>
  <c r="H71" i="12"/>
  <c r="H182" i="12"/>
  <c r="H190" i="12"/>
  <c r="I190" i="12" s="1"/>
  <c r="K247" i="12"/>
  <c r="O247" i="12"/>
  <c r="O218" i="12"/>
  <c r="K218" i="12"/>
  <c r="L293" i="12"/>
  <c r="P293" i="12"/>
  <c r="P297" i="12"/>
  <c r="L297" i="12"/>
  <c r="O322" i="12"/>
  <c r="K322" i="12"/>
  <c r="H322" i="12"/>
  <c r="I322" i="12" s="1"/>
  <c r="K323" i="12"/>
  <c r="O323" i="12"/>
  <c r="I323" i="12"/>
  <c r="P54" i="12"/>
  <c r="L54" i="12"/>
  <c r="H14" i="12"/>
  <c r="I14" i="12" s="1"/>
  <c r="I54" i="12"/>
  <c r="O127" i="12"/>
  <c r="K127" i="12"/>
  <c r="Q125" i="12"/>
  <c r="R125" i="12" s="1"/>
  <c r="M125" i="12"/>
  <c r="P147" i="12"/>
  <c r="L147" i="12"/>
  <c r="P202" i="12"/>
  <c r="L202" i="12"/>
  <c r="M290" i="12"/>
  <c r="Q290" i="12"/>
  <c r="R290" i="12" s="1"/>
  <c r="L273" i="12"/>
  <c r="P273" i="12"/>
  <c r="O306" i="12"/>
  <c r="K306" i="12"/>
  <c r="H306" i="12"/>
  <c r="L298" i="12"/>
  <c r="P298" i="12"/>
  <c r="Q36" i="12"/>
  <c r="R36" i="12" s="1"/>
  <c r="M36" i="12"/>
  <c r="Q107" i="12"/>
  <c r="R107" i="12" s="1"/>
  <c r="M107" i="12"/>
  <c r="Q275" i="12"/>
  <c r="R275" i="12" s="1"/>
  <c r="M275" i="12"/>
  <c r="I281" i="12"/>
  <c r="Q16" i="12"/>
  <c r="R16" i="12" s="1"/>
  <c r="M16" i="12"/>
  <c r="P22" i="12"/>
  <c r="L22" i="12"/>
  <c r="Q25" i="12"/>
  <c r="M25" i="12"/>
  <c r="Q47" i="12"/>
  <c r="R47" i="12" s="1"/>
  <c r="M47" i="12"/>
  <c r="P53" i="12"/>
  <c r="L53" i="12"/>
  <c r="P41" i="12"/>
  <c r="L41" i="12"/>
  <c r="P50" i="12"/>
  <c r="L50" i="12"/>
  <c r="K68" i="12"/>
  <c r="O68" i="12"/>
  <c r="P91" i="12"/>
  <c r="L91" i="12"/>
  <c r="O79" i="12"/>
  <c r="K79" i="12"/>
  <c r="H89" i="12"/>
  <c r="Q144" i="12"/>
  <c r="R144" i="12" s="1"/>
  <c r="M144" i="12"/>
  <c r="Q148" i="12"/>
  <c r="R148" i="12" s="1"/>
  <c r="M148" i="12"/>
  <c r="L210" i="12"/>
  <c r="P210" i="12"/>
  <c r="L196" i="12"/>
  <c r="P196" i="12"/>
  <c r="I196" i="12"/>
  <c r="O206" i="12"/>
  <c r="K206" i="12"/>
  <c r="H206" i="12"/>
  <c r="O245" i="12"/>
  <c r="K245" i="12"/>
  <c r="P283" i="12"/>
  <c r="L283" i="12"/>
  <c r="L318" i="12"/>
  <c r="P318" i="12"/>
  <c r="Q12" i="12"/>
  <c r="R12" i="12" s="1"/>
  <c r="M12" i="12"/>
  <c r="P29" i="12"/>
  <c r="L29" i="12"/>
  <c r="Q66" i="12"/>
  <c r="R66" i="12" s="1"/>
  <c r="M66" i="12"/>
  <c r="L99" i="12"/>
  <c r="P99" i="12"/>
  <c r="L101" i="12"/>
  <c r="P101" i="12"/>
  <c r="Q157" i="12"/>
  <c r="R157" i="12" s="1"/>
  <c r="M157" i="12"/>
  <c r="Q145" i="12"/>
  <c r="R145" i="12" s="1"/>
  <c r="M145" i="12"/>
  <c r="O155" i="12"/>
  <c r="K155" i="12"/>
  <c r="P151" i="12"/>
  <c r="L151" i="12"/>
  <c r="O222" i="12"/>
  <c r="K222" i="12"/>
  <c r="H222" i="12"/>
  <c r="I222" i="12" s="1"/>
  <c r="P249" i="12"/>
  <c r="L249" i="12"/>
  <c r="Q257" i="12"/>
  <c r="M257" i="12"/>
  <c r="Q279" i="12"/>
  <c r="R279" i="12" s="1"/>
  <c r="M279" i="12"/>
  <c r="L251" i="12"/>
  <c r="P251" i="12"/>
  <c r="M314" i="12"/>
  <c r="Q314" i="12"/>
  <c r="R314" i="12" s="1"/>
  <c r="L315" i="12"/>
  <c r="P315" i="12"/>
  <c r="P44" i="12"/>
  <c r="L44" i="12"/>
  <c r="I44" i="12"/>
  <c r="O75" i="12"/>
  <c r="K75" i="12"/>
  <c r="O87" i="12"/>
  <c r="K87" i="12"/>
  <c r="L115" i="12"/>
  <c r="P115" i="12"/>
  <c r="Q105" i="12"/>
  <c r="R105" i="12" s="1"/>
  <c r="M105" i="12"/>
  <c r="H111" i="12"/>
  <c r="O135" i="12"/>
  <c r="K135" i="12"/>
  <c r="L187" i="12"/>
  <c r="P187" i="12"/>
  <c r="O204" i="12"/>
  <c r="K204" i="12"/>
  <c r="H204" i="12"/>
  <c r="Q258" i="12"/>
  <c r="R258" i="12" s="1"/>
  <c r="M258" i="12"/>
  <c r="P330" i="12"/>
  <c r="L330" i="12"/>
  <c r="O289" i="12"/>
  <c r="K289" i="12"/>
  <c r="H289" i="12"/>
  <c r="I289" i="12" s="1"/>
  <c r="O265" i="12"/>
  <c r="K265" i="12"/>
  <c r="H265" i="12"/>
  <c r="I265" i="12" s="1"/>
  <c r="M309" i="12"/>
  <c r="Q309" i="12"/>
  <c r="R309" i="12" s="1"/>
  <c r="Q329" i="12"/>
  <c r="R329" i="12" s="1"/>
  <c r="M329" i="12"/>
  <c r="L305" i="12"/>
  <c r="P305" i="12"/>
  <c r="H84" i="12"/>
  <c r="P163" i="12"/>
  <c r="L163" i="12"/>
  <c r="Q220" i="12"/>
  <c r="R220" i="12" s="1"/>
  <c r="M220" i="12"/>
  <c r="O297" i="12"/>
  <c r="K297" i="12"/>
  <c r="H68" i="12"/>
  <c r="H155" i="12"/>
  <c r="I245" i="12"/>
  <c r="I297" i="12"/>
  <c r="H79" i="12"/>
  <c r="L310" i="12"/>
  <c r="P310" i="12"/>
  <c r="I83" i="12"/>
  <c r="Q121" i="12"/>
  <c r="R121" i="12" s="1"/>
  <c r="M121" i="12"/>
  <c r="I127" i="12"/>
  <c r="Q85" i="12"/>
  <c r="R85" i="12" s="1"/>
  <c r="M85" i="12"/>
  <c r="Q104" i="12"/>
  <c r="R104" i="12" s="1"/>
  <c r="M104" i="12"/>
  <c r="Q185" i="12"/>
  <c r="M185" i="12"/>
  <c r="Q149" i="12"/>
  <c r="R149" i="12" s="1"/>
  <c r="M149" i="12"/>
  <c r="Q153" i="12"/>
  <c r="R153" i="12" s="1"/>
  <c r="M153" i="12"/>
  <c r="M194" i="12"/>
  <c r="Q194" i="12"/>
  <c r="Q216" i="12"/>
  <c r="R216" i="12" s="1"/>
  <c r="M216" i="12"/>
  <c r="Q234" i="12"/>
  <c r="R234" i="12" s="1"/>
  <c r="M234" i="12"/>
  <c r="M273" i="12"/>
  <c r="Q273" i="12"/>
  <c r="M292" i="12"/>
  <c r="Q292" i="12"/>
  <c r="R292" i="12" s="1"/>
  <c r="L245" i="12"/>
  <c r="P245" i="12"/>
  <c r="O281" i="12"/>
  <c r="K281" i="12"/>
  <c r="L277" i="12"/>
  <c r="P277" i="12"/>
  <c r="Q308" i="12"/>
  <c r="R308" i="12" s="1"/>
  <c r="M308" i="12"/>
  <c r="Q318" i="12"/>
  <c r="M318" i="12"/>
  <c r="Q27" i="12"/>
  <c r="R27" i="12" s="1"/>
  <c r="M27" i="12"/>
  <c r="Q43" i="12"/>
  <c r="R43" i="12" s="1"/>
  <c r="I53" i="12"/>
  <c r="L113" i="12"/>
  <c r="P113" i="12"/>
  <c r="I113" i="12"/>
  <c r="P109" i="12"/>
  <c r="L109" i="12"/>
  <c r="O117" i="12"/>
  <c r="K117" i="12"/>
  <c r="L186" i="12"/>
  <c r="P186" i="12"/>
  <c r="P159" i="12"/>
  <c r="L159" i="12"/>
  <c r="M207" i="12"/>
  <c r="Q207" i="12"/>
  <c r="R207" i="12" s="1"/>
  <c r="Q230" i="12"/>
  <c r="R230" i="12" s="1"/>
  <c r="M230" i="12"/>
  <c r="Q266" i="12"/>
  <c r="R266" i="12" s="1"/>
  <c r="M266" i="12"/>
  <c r="Q324" i="12"/>
  <c r="R324" i="12" s="1"/>
  <c r="M324" i="12"/>
  <c r="M296" i="12"/>
  <c r="Q296" i="12"/>
  <c r="R296" i="12" s="1"/>
  <c r="Q321" i="12"/>
  <c r="R321" i="12" s="1"/>
  <c r="M321" i="12"/>
  <c r="L326" i="12"/>
  <c r="P326" i="12"/>
  <c r="Q31" i="12"/>
  <c r="R31" i="12" s="1"/>
  <c r="M31" i="12"/>
  <c r="P57" i="12"/>
  <c r="L57" i="12"/>
  <c r="I57" i="12"/>
  <c r="Q81" i="12"/>
  <c r="R81" i="12" s="1"/>
  <c r="M81" i="12"/>
  <c r="O71" i="12"/>
  <c r="K71" i="12"/>
  <c r="Q132" i="12"/>
  <c r="R132" i="12" s="1"/>
  <c r="M132" i="12"/>
  <c r="O131" i="12"/>
  <c r="K131" i="12"/>
  <c r="Q187" i="12"/>
  <c r="M187" i="12"/>
  <c r="Q147" i="12"/>
  <c r="M147" i="12"/>
  <c r="H287" i="12"/>
  <c r="I287" i="12" s="1"/>
  <c r="L291" i="12"/>
  <c r="P291" i="12"/>
  <c r="I291" i="12"/>
  <c r="L257" i="12"/>
  <c r="P257" i="12"/>
  <c r="R311" i="12"/>
  <c r="I305" i="12"/>
  <c r="P45" i="12"/>
  <c r="L45" i="12"/>
  <c r="O119" i="12"/>
  <c r="K119" i="12"/>
  <c r="Q164" i="12"/>
  <c r="R164" i="12" s="1"/>
  <c r="M164" i="12"/>
  <c r="I151" i="12"/>
  <c r="C5" i="2"/>
  <c r="D5" i="2"/>
  <c r="B32" i="3"/>
  <c r="C169" i="12" s="1"/>
  <c r="C168" i="10" s="1"/>
  <c r="B30" i="3"/>
  <c r="C167" i="12" s="1"/>
  <c r="C166" i="10" s="1"/>
  <c r="B28" i="3"/>
  <c r="C165" i="12" s="1"/>
  <c r="C164" i="10" s="1"/>
  <c r="B26" i="3"/>
  <c r="C163" i="12" s="1"/>
  <c r="C162" i="10" s="1"/>
  <c r="B24" i="3"/>
  <c r="C161" i="12" s="1"/>
  <c r="C160" i="10" s="1"/>
  <c r="B22" i="3"/>
  <c r="C159" i="12" s="1"/>
  <c r="C158" i="10" s="1"/>
  <c r="B20" i="3"/>
  <c r="C157" i="12" s="1"/>
  <c r="C156" i="10" s="1"/>
  <c r="B18" i="3"/>
  <c r="C155" i="12" s="1"/>
  <c r="C154" i="10" s="1"/>
  <c r="B16" i="3"/>
  <c r="C153" i="12" s="1"/>
  <c r="C152" i="10" s="1"/>
  <c r="B14" i="3"/>
  <c r="C151" i="12" s="1"/>
  <c r="C150" i="10" s="1"/>
  <c r="B12" i="3"/>
  <c r="C149" i="12" s="1"/>
  <c r="C148" i="10" s="1"/>
  <c r="B10" i="3"/>
  <c r="C147" i="12" s="1"/>
  <c r="C146" i="10" s="1"/>
  <c r="B8" i="3"/>
  <c r="C145" i="12" s="1"/>
  <c r="C144" i="10" s="1"/>
  <c r="B6" i="3"/>
  <c r="C143" i="12" s="1"/>
  <c r="C142" i="10" s="1"/>
  <c r="B4" i="3"/>
  <c r="C141" i="12" s="1"/>
  <c r="C140" i="10" s="1"/>
  <c r="B2" i="3"/>
  <c r="C139" i="12" s="1"/>
  <c r="C138" i="10" s="1"/>
  <c r="B33" i="3"/>
  <c r="C170" i="12" s="1"/>
  <c r="C169" i="10" s="1"/>
  <c r="B31" i="3"/>
  <c r="C168" i="12" s="1"/>
  <c r="C167" i="10" s="1"/>
  <c r="B29" i="3"/>
  <c r="C166" i="12" s="1"/>
  <c r="C165" i="10" s="1"/>
  <c r="B27" i="3"/>
  <c r="C164" i="12" s="1"/>
  <c r="C163" i="10" s="1"/>
  <c r="B25" i="3"/>
  <c r="C162" i="12" s="1"/>
  <c r="C161" i="10" s="1"/>
  <c r="B23" i="3"/>
  <c r="C160" i="12" s="1"/>
  <c r="C159" i="10" s="1"/>
  <c r="B21" i="3"/>
  <c r="C158" i="12" s="1"/>
  <c r="C157" i="10" s="1"/>
  <c r="B19" i="3"/>
  <c r="C156" i="12" s="1"/>
  <c r="C155" i="10" s="1"/>
  <c r="B17" i="3"/>
  <c r="C154" i="12" s="1"/>
  <c r="C153" i="10" s="1"/>
  <c r="B15" i="3"/>
  <c r="C152" i="12" s="1"/>
  <c r="C151" i="10" s="1"/>
  <c r="B13" i="3"/>
  <c r="C150" i="12" s="1"/>
  <c r="C149" i="10" s="1"/>
  <c r="B11" i="3"/>
  <c r="C148" i="12" s="1"/>
  <c r="C147" i="10" s="1"/>
  <c r="B9" i="3"/>
  <c r="C146" i="12" s="1"/>
  <c r="C145" i="10" s="1"/>
  <c r="B7" i="3"/>
  <c r="C144" i="12" s="1"/>
  <c r="C143" i="10" s="1"/>
  <c r="B5" i="3"/>
  <c r="C142" i="12" s="1"/>
  <c r="C141" i="10" s="1"/>
  <c r="B3" i="3"/>
  <c r="C140" i="12" s="1"/>
  <c r="C139" i="10" s="1"/>
  <c r="H218" i="12"/>
  <c r="O232" i="12"/>
  <c r="K232" i="12"/>
  <c r="I277" i="12"/>
  <c r="Q52" i="12"/>
  <c r="R52" i="12" s="1"/>
  <c r="M52" i="12"/>
  <c r="I255" i="12"/>
  <c r="I232" i="12"/>
  <c r="L168" i="12"/>
  <c r="P168" i="12"/>
  <c r="Q243" i="12"/>
  <c r="R243" i="12" s="1"/>
  <c r="M243" i="12"/>
  <c r="M63" i="12"/>
  <c r="Q63" i="12"/>
  <c r="K11" i="12"/>
  <c r="O11" i="12"/>
  <c r="Q33" i="12"/>
  <c r="M33" i="12"/>
  <c r="L97" i="12"/>
  <c r="P97" i="12"/>
  <c r="I97" i="12"/>
  <c r="O83" i="12"/>
  <c r="K83" i="12"/>
  <c r="K89" i="12"/>
  <c r="O89" i="12"/>
  <c r="Q156" i="12"/>
  <c r="R156" i="12" s="1"/>
  <c r="M156" i="12"/>
  <c r="M168" i="12"/>
  <c r="Q168" i="12"/>
  <c r="Q219" i="12"/>
  <c r="R219" i="12" s="1"/>
  <c r="M219" i="12"/>
  <c r="Q284" i="12"/>
  <c r="R284" i="12" s="1"/>
  <c r="M284" i="12"/>
  <c r="P232" i="12"/>
  <c r="L232" i="12"/>
  <c r="Q303" i="12"/>
  <c r="R303" i="12" s="1"/>
  <c r="M303" i="12"/>
  <c r="Q298" i="12"/>
  <c r="M298" i="12"/>
  <c r="P38" i="12"/>
  <c r="L38" i="12"/>
  <c r="P58" i="12"/>
  <c r="L58" i="12"/>
  <c r="P46" i="12"/>
  <c r="L46" i="12"/>
  <c r="L61" i="12"/>
  <c r="P61" i="12"/>
  <c r="I46" i="12"/>
  <c r="Q109" i="12"/>
  <c r="M109" i="12"/>
  <c r="O101" i="12"/>
  <c r="K101" i="12"/>
  <c r="P131" i="12"/>
  <c r="L131" i="12"/>
  <c r="Q143" i="12"/>
  <c r="M143" i="12"/>
  <c r="I186" i="12"/>
  <c r="O182" i="12"/>
  <c r="K182" i="12"/>
  <c r="Q233" i="12"/>
  <c r="R233" i="12" s="1"/>
  <c r="M233" i="12"/>
  <c r="P200" i="12"/>
  <c r="L200" i="12"/>
  <c r="Q282" i="12"/>
  <c r="R282" i="12" s="1"/>
  <c r="M282" i="12"/>
  <c r="I326" i="12"/>
  <c r="O14" i="12"/>
  <c r="K14" i="12"/>
  <c r="I41" i="12"/>
  <c r="O67" i="12"/>
  <c r="K67" i="12"/>
  <c r="I95" i="12"/>
  <c r="Q137" i="12"/>
  <c r="R137" i="12" s="1"/>
  <c r="M137" i="12"/>
  <c r="H167" i="12"/>
  <c r="I167" i="12" s="1"/>
  <c r="Q163" i="12"/>
  <c r="M163" i="12"/>
  <c r="P239" i="12"/>
  <c r="L239" i="12"/>
  <c r="K250" i="12"/>
  <c r="O250" i="12"/>
  <c r="I250" i="12"/>
  <c r="Q212" i="12"/>
  <c r="R212" i="12" s="1"/>
  <c r="M212" i="12"/>
  <c r="L253" i="12"/>
  <c r="P253" i="12"/>
  <c r="I253" i="12"/>
  <c r="P327" i="12"/>
  <c r="L327" i="12"/>
  <c r="I327" i="12"/>
  <c r="L323" i="12"/>
  <c r="P323" i="12"/>
  <c r="I330" i="12"/>
  <c r="O18" i="12"/>
  <c r="K18" i="12"/>
  <c r="H18" i="12"/>
  <c r="I29" i="12"/>
  <c r="I45" i="12"/>
  <c r="I67" i="12"/>
  <c r="O72" i="12"/>
  <c r="K72" i="12"/>
  <c r="I72" i="12"/>
  <c r="I75" i="12"/>
  <c r="O80" i="12"/>
  <c r="K80" i="12"/>
  <c r="I80" i="12"/>
  <c r="H87" i="12"/>
  <c r="L88" i="12"/>
  <c r="P88" i="12"/>
  <c r="I88" i="12"/>
  <c r="O103" i="12"/>
  <c r="K103" i="12"/>
  <c r="P127" i="12"/>
  <c r="L127" i="12"/>
  <c r="I131" i="12"/>
  <c r="I247" i="12"/>
  <c r="O239" i="12"/>
  <c r="K239" i="12"/>
  <c r="Q259" i="12"/>
  <c r="R259" i="12" s="1"/>
  <c r="M259" i="12"/>
  <c r="K302" i="12"/>
  <c r="O302" i="12"/>
  <c r="I302" i="12"/>
  <c r="I210" i="12"/>
  <c r="I293" i="12"/>
  <c r="I315" i="12"/>
  <c r="H103" i="12"/>
  <c r="I251" i="12"/>
  <c r="I200" i="12"/>
  <c r="I22" i="12"/>
  <c r="I115" i="12"/>
  <c r="I285" i="12"/>
  <c r="Q100" i="12" l="1"/>
  <c r="R100" i="12" s="1"/>
  <c r="P32" i="12"/>
  <c r="M203" i="12"/>
  <c r="R150" i="12"/>
  <c r="M166" i="12"/>
  <c r="Q166" i="12"/>
  <c r="R166" i="12" s="1"/>
  <c r="R160" i="12"/>
  <c r="I32" i="12"/>
  <c r="Q32" i="12" s="1"/>
  <c r="R32" i="12" s="1"/>
  <c r="R42" i="12"/>
  <c r="Q246" i="12"/>
  <c r="R246" i="12" s="1"/>
  <c r="M116" i="12"/>
  <c r="M214" i="12"/>
  <c r="R15" i="12"/>
  <c r="R307" i="12"/>
  <c r="P238" i="12"/>
  <c r="P213" i="12"/>
  <c r="R35" i="12"/>
  <c r="R310" i="12"/>
  <c r="Q34" i="12"/>
  <c r="R34" i="12" s="1"/>
  <c r="Q238" i="12"/>
  <c r="Q191" i="12"/>
  <c r="R191" i="12" s="1"/>
  <c r="R184" i="12"/>
  <c r="R78" i="12"/>
  <c r="Q276" i="12"/>
  <c r="R276" i="12" s="1"/>
  <c r="I213" i="12"/>
  <c r="Q213" i="12" s="1"/>
  <c r="R61" i="12"/>
  <c r="M254" i="12"/>
  <c r="L238" i="12"/>
  <c r="R288" i="12"/>
  <c r="M128" i="12"/>
  <c r="R202" i="12"/>
  <c r="R286" i="12"/>
  <c r="M181" i="12"/>
  <c r="M136" i="12"/>
  <c r="R58" i="12"/>
  <c r="M278" i="12"/>
  <c r="P198" i="12"/>
  <c r="M49" i="12"/>
  <c r="L60" i="12"/>
  <c r="L198" i="12"/>
  <c r="P60" i="12"/>
  <c r="Q252" i="12"/>
  <c r="R252" i="12" s="1"/>
  <c r="M35" i="12"/>
  <c r="Q209" i="12"/>
  <c r="R209" i="12" s="1"/>
  <c r="Q82" i="12"/>
  <c r="R82" i="12" s="1"/>
  <c r="R273" i="12"/>
  <c r="M37" i="12"/>
  <c r="M307" i="12"/>
  <c r="R257" i="12"/>
  <c r="R203" i="12"/>
  <c r="Q86" i="12"/>
  <c r="R86" i="12" s="1"/>
  <c r="R136" i="12"/>
  <c r="M184" i="12"/>
  <c r="R181" i="12"/>
  <c r="R128" i="12"/>
  <c r="R134" i="12"/>
  <c r="R40" i="12"/>
  <c r="R147" i="12"/>
  <c r="R102" i="12"/>
  <c r="M26" i="12"/>
  <c r="R39" i="12"/>
  <c r="R49" i="12"/>
  <c r="M40" i="12"/>
  <c r="M30" i="12"/>
  <c r="R91" i="12"/>
  <c r="R25" i="12"/>
  <c r="M325" i="12"/>
  <c r="Q325" i="12"/>
  <c r="R325" i="12" s="1"/>
  <c r="Q242" i="12"/>
  <c r="R242" i="12" s="1"/>
  <c r="M242" i="12"/>
  <c r="R122" i="12"/>
  <c r="R201" i="12"/>
  <c r="R50" i="12"/>
  <c r="R159" i="12"/>
  <c r="Q313" i="12"/>
  <c r="R313" i="12" s="1"/>
  <c r="R169" i="12"/>
  <c r="L48" i="12"/>
  <c r="R194" i="12"/>
  <c r="P264" i="12"/>
  <c r="L264" i="12"/>
  <c r="I264" i="12"/>
  <c r="M90" i="12"/>
  <c r="Q90" i="12"/>
  <c r="R90" i="12" s="1"/>
  <c r="R283" i="12"/>
  <c r="Q154" i="12"/>
  <c r="R154" i="12" s="1"/>
  <c r="M154" i="12"/>
  <c r="R163" i="12"/>
  <c r="Q239" i="12"/>
  <c r="R239" i="12" s="1"/>
  <c r="R152" i="12"/>
  <c r="L272" i="12"/>
  <c r="P272" i="12"/>
  <c r="L124" i="12"/>
  <c r="I124" i="12"/>
  <c r="P124" i="12"/>
  <c r="M208" i="12"/>
  <c r="R63" i="12"/>
  <c r="I272" i="12"/>
  <c r="Q94" i="12"/>
  <c r="M94" i="12"/>
  <c r="R117" i="12"/>
  <c r="P48" i="12"/>
  <c r="R208" i="12"/>
  <c r="M271" i="12"/>
  <c r="Q271" i="12"/>
  <c r="I98" i="12"/>
  <c r="P98" i="12"/>
  <c r="L98" i="12"/>
  <c r="R298" i="12"/>
  <c r="M117" i="12"/>
  <c r="Q130" i="12"/>
  <c r="R130" i="12" s="1"/>
  <c r="M130" i="12"/>
  <c r="P94" i="12"/>
  <c r="L94" i="12"/>
  <c r="R249" i="12"/>
  <c r="P271" i="12"/>
  <c r="L271" i="12"/>
  <c r="M126" i="12"/>
  <c r="Q126" i="12"/>
  <c r="Q231" i="12"/>
  <c r="R231" i="12" s="1"/>
  <c r="M231" i="12"/>
  <c r="P328" i="12"/>
  <c r="L328" i="12"/>
  <c r="M110" i="12"/>
  <c r="Q110" i="12"/>
  <c r="I328" i="12"/>
  <c r="L205" i="12"/>
  <c r="P205" i="12"/>
  <c r="I205" i="12"/>
  <c r="I118" i="12"/>
  <c r="P118" i="12"/>
  <c r="L118" i="12"/>
  <c r="Q129" i="12"/>
  <c r="R129" i="12" s="1"/>
  <c r="M129" i="12"/>
  <c r="M138" i="12"/>
  <c r="Q138" i="12"/>
  <c r="R138" i="12" s="1"/>
  <c r="P110" i="12"/>
  <c r="L110" i="12"/>
  <c r="L51" i="12"/>
  <c r="P51" i="12"/>
  <c r="I51" i="12"/>
  <c r="L106" i="12"/>
  <c r="P106" i="12"/>
  <c r="M260" i="12"/>
  <c r="Q260" i="12"/>
  <c r="R260" i="12" s="1"/>
  <c r="R38" i="12"/>
  <c r="R168" i="12"/>
  <c r="R109" i="12"/>
  <c r="Q101" i="12"/>
  <c r="R101" i="12" s="1"/>
  <c r="M221" i="12"/>
  <c r="Q221" i="12"/>
  <c r="R221" i="12" s="1"/>
  <c r="I197" i="12"/>
  <c r="L197" i="12"/>
  <c r="P197" i="12"/>
  <c r="P261" i="12"/>
  <c r="L261" i="12"/>
  <c r="M217" i="12"/>
  <c r="Q217" i="12"/>
  <c r="R217" i="12" s="1"/>
  <c r="I106" i="12"/>
  <c r="I261" i="12"/>
  <c r="L248" i="12"/>
  <c r="P248" i="12"/>
  <c r="I248" i="12"/>
  <c r="M256" i="12"/>
  <c r="Q256" i="12"/>
  <c r="R256" i="12" s="1"/>
  <c r="P320" i="12"/>
  <c r="L320" i="12"/>
  <c r="I320" i="12"/>
  <c r="L126" i="12"/>
  <c r="P126" i="12"/>
  <c r="R143" i="12"/>
  <c r="R254" i="12"/>
  <c r="R99" i="12"/>
  <c r="R318" i="12"/>
  <c r="M64" i="12"/>
  <c r="Q64" i="12"/>
  <c r="R64" i="12" s="1"/>
  <c r="L158" i="12"/>
  <c r="P158" i="12"/>
  <c r="I319" i="12"/>
  <c r="P319" i="12"/>
  <c r="L319" i="12"/>
  <c r="R162" i="12"/>
  <c r="I158" i="12"/>
  <c r="R33" i="12"/>
  <c r="I180" i="12"/>
  <c r="P180" i="12"/>
  <c r="L180" i="12"/>
  <c r="P55" i="12"/>
  <c r="I55" i="12"/>
  <c r="L55" i="12"/>
  <c r="R187" i="12"/>
  <c r="I59" i="12"/>
  <c r="L59" i="12"/>
  <c r="P59" i="12"/>
  <c r="Q146" i="12"/>
  <c r="R146" i="12" s="1"/>
  <c r="M146" i="12"/>
  <c r="Q289" i="12"/>
  <c r="M289" i="12"/>
  <c r="Q11" i="12"/>
  <c r="M11" i="12"/>
  <c r="Q14" i="12"/>
  <c r="M14" i="12"/>
  <c r="Q285" i="12"/>
  <c r="R285" i="12" s="1"/>
  <c r="M285" i="12"/>
  <c r="Q302" i="12"/>
  <c r="R302" i="12" s="1"/>
  <c r="M302" i="12"/>
  <c r="Q88" i="12"/>
  <c r="R88" i="12" s="1"/>
  <c r="M88" i="12"/>
  <c r="Q41" i="12"/>
  <c r="R41" i="12" s="1"/>
  <c r="M41" i="12"/>
  <c r="M186" i="12"/>
  <c r="Q186" i="12"/>
  <c r="R186" i="12" s="1"/>
  <c r="Q46" i="12"/>
  <c r="R46" i="12" s="1"/>
  <c r="M46" i="12"/>
  <c r="Q232" i="12"/>
  <c r="R232" i="12" s="1"/>
  <c r="M232" i="12"/>
  <c r="P218" i="12"/>
  <c r="L218" i="12"/>
  <c r="Q151" i="12"/>
  <c r="R151" i="12" s="1"/>
  <c r="M151" i="12"/>
  <c r="Q305" i="12"/>
  <c r="R305" i="12" s="1"/>
  <c r="M305" i="12"/>
  <c r="P287" i="12"/>
  <c r="L287" i="12"/>
  <c r="Q127" i="12"/>
  <c r="R127" i="12" s="1"/>
  <c r="M127" i="12"/>
  <c r="Q245" i="12"/>
  <c r="R245" i="12" s="1"/>
  <c r="M245" i="12"/>
  <c r="M322" i="12"/>
  <c r="Q322" i="12"/>
  <c r="P84" i="12"/>
  <c r="L84" i="12"/>
  <c r="P204" i="12"/>
  <c r="L204" i="12"/>
  <c r="I204" i="12"/>
  <c r="Q222" i="12"/>
  <c r="M222" i="12"/>
  <c r="Q196" i="12"/>
  <c r="R196" i="12" s="1"/>
  <c r="M196" i="12"/>
  <c r="I84" i="12"/>
  <c r="L190" i="12"/>
  <c r="P190" i="12"/>
  <c r="Q76" i="12"/>
  <c r="R76" i="12" s="1"/>
  <c r="M76" i="12"/>
  <c r="Q56" i="12"/>
  <c r="R56" i="12" s="1"/>
  <c r="M56" i="12"/>
  <c r="R185" i="12"/>
  <c r="Q135" i="12"/>
  <c r="R135" i="12" s="1"/>
  <c r="M135" i="12"/>
  <c r="Q251" i="12"/>
  <c r="R251" i="12" s="1"/>
  <c r="M251" i="12"/>
  <c r="Q287" i="12"/>
  <c r="M287" i="12"/>
  <c r="M250" i="12"/>
  <c r="Q250" i="12"/>
  <c r="R250" i="12" s="1"/>
  <c r="Q95" i="12"/>
  <c r="R95" i="12" s="1"/>
  <c r="M95" i="12"/>
  <c r="Q115" i="12"/>
  <c r="R115" i="12" s="1"/>
  <c r="M115" i="12"/>
  <c r="P87" i="12"/>
  <c r="L87" i="12"/>
  <c r="I87" i="12"/>
  <c r="M67" i="12"/>
  <c r="Q67" i="12"/>
  <c r="R67" i="12" s="1"/>
  <c r="P167" i="12"/>
  <c r="L167" i="12"/>
  <c r="Q326" i="12"/>
  <c r="R326" i="12" s="1"/>
  <c r="M326" i="12"/>
  <c r="Q255" i="12"/>
  <c r="R255" i="12" s="1"/>
  <c r="M255" i="12"/>
  <c r="Q57" i="12"/>
  <c r="R57" i="12" s="1"/>
  <c r="M57" i="12"/>
  <c r="Q60" i="12"/>
  <c r="M60" i="12"/>
  <c r="P155" i="12"/>
  <c r="L155" i="12"/>
  <c r="I155" i="12"/>
  <c r="Q44" i="12"/>
  <c r="R44" i="12" s="1"/>
  <c r="M44" i="12"/>
  <c r="P222" i="12"/>
  <c r="L222" i="12"/>
  <c r="P206" i="12"/>
  <c r="L206" i="12"/>
  <c r="P89" i="12"/>
  <c r="L89" i="12"/>
  <c r="P306" i="12"/>
  <c r="L306" i="12"/>
  <c r="L182" i="12"/>
  <c r="P182" i="12"/>
  <c r="L71" i="12"/>
  <c r="P71" i="12"/>
  <c r="Q48" i="12"/>
  <c r="M48" i="12"/>
  <c r="A82" i="9"/>
  <c r="B81" i="9"/>
  <c r="C98" i="12" s="1"/>
  <c r="C97" i="10" s="1"/>
  <c r="I182" i="12"/>
  <c r="Q210" i="12"/>
  <c r="R210" i="12" s="1"/>
  <c r="M210" i="12"/>
  <c r="Q167" i="12"/>
  <c r="M167" i="12"/>
  <c r="P18" i="12"/>
  <c r="L18" i="12"/>
  <c r="L103" i="12"/>
  <c r="P103" i="12"/>
  <c r="I103" i="12"/>
  <c r="Q247" i="12"/>
  <c r="R247" i="12" s="1"/>
  <c r="M247" i="12"/>
  <c r="M75" i="12"/>
  <c r="Q75" i="12"/>
  <c r="R75" i="12" s="1"/>
  <c r="Q22" i="12"/>
  <c r="R22" i="12" s="1"/>
  <c r="M22" i="12"/>
  <c r="Q315" i="12"/>
  <c r="R315" i="12" s="1"/>
  <c r="M315" i="12"/>
  <c r="Q131" i="12"/>
  <c r="R131" i="12" s="1"/>
  <c r="M131" i="12"/>
  <c r="Q80" i="12"/>
  <c r="R80" i="12" s="1"/>
  <c r="M80" i="12"/>
  <c r="Q72" i="12"/>
  <c r="R72" i="12" s="1"/>
  <c r="M72" i="12"/>
  <c r="Q29" i="12"/>
  <c r="R29" i="12" s="1"/>
  <c r="M29" i="12"/>
  <c r="Q330" i="12"/>
  <c r="R330" i="12" s="1"/>
  <c r="M330" i="12"/>
  <c r="Q327" i="12"/>
  <c r="R327" i="12" s="1"/>
  <c r="M327" i="12"/>
  <c r="M253" i="12"/>
  <c r="Q253" i="12"/>
  <c r="R253" i="12" s="1"/>
  <c r="Q198" i="12"/>
  <c r="M198" i="12"/>
  <c r="Q97" i="12"/>
  <c r="R97" i="12" s="1"/>
  <c r="M97" i="12"/>
  <c r="Q291" i="12"/>
  <c r="R291" i="12" s="1"/>
  <c r="M291" i="12"/>
  <c r="Q53" i="12"/>
  <c r="R53" i="12" s="1"/>
  <c r="M53" i="12"/>
  <c r="L79" i="12"/>
  <c r="P79" i="12"/>
  <c r="L68" i="12"/>
  <c r="P68" i="12"/>
  <c r="P265" i="12"/>
  <c r="L265" i="12"/>
  <c r="I79" i="12"/>
  <c r="I306" i="12"/>
  <c r="Q54" i="12"/>
  <c r="R54" i="12" s="1"/>
  <c r="M54" i="12"/>
  <c r="P322" i="12"/>
  <c r="L322" i="12"/>
  <c r="I218" i="12"/>
  <c r="B6" i="13"/>
  <c r="C7" i="12" s="1"/>
  <c r="C6" i="10" s="1"/>
  <c r="A7" i="13"/>
  <c r="Q28" i="12"/>
  <c r="R28" i="12" s="1"/>
  <c r="M28" i="12"/>
  <c r="Q119" i="12"/>
  <c r="R119" i="12" s="1"/>
  <c r="M119" i="12"/>
  <c r="Q45" i="12"/>
  <c r="R45" i="12" s="1"/>
  <c r="M45" i="12"/>
  <c r="Q200" i="12"/>
  <c r="R200" i="12" s="1"/>
  <c r="M200" i="12"/>
  <c r="Q293" i="12"/>
  <c r="R293" i="12" s="1"/>
  <c r="M293" i="12"/>
  <c r="I18" i="12"/>
  <c r="M190" i="12"/>
  <c r="Q190" i="12"/>
  <c r="Q277" i="12"/>
  <c r="R277" i="12" s="1"/>
  <c r="M277" i="12"/>
  <c r="B6" i="2"/>
  <c r="E5" i="2"/>
  <c r="Q113" i="12"/>
  <c r="R113" i="12" s="1"/>
  <c r="M113" i="12"/>
  <c r="Q83" i="12"/>
  <c r="R83" i="12" s="1"/>
  <c r="M83" i="12"/>
  <c r="Q297" i="12"/>
  <c r="R297" i="12" s="1"/>
  <c r="M297" i="12"/>
  <c r="Q265" i="12"/>
  <c r="M265" i="12"/>
  <c r="P289" i="12"/>
  <c r="L289" i="12"/>
  <c r="P111" i="12"/>
  <c r="L111" i="12"/>
  <c r="I68" i="12"/>
  <c r="Q281" i="12"/>
  <c r="R281" i="12" s="1"/>
  <c r="M281" i="12"/>
  <c r="L14" i="12"/>
  <c r="P14" i="12"/>
  <c r="Q323" i="12"/>
  <c r="R323" i="12" s="1"/>
  <c r="M323" i="12"/>
  <c r="I111" i="12"/>
  <c r="L11" i="12"/>
  <c r="P11" i="12"/>
  <c r="I206" i="12"/>
  <c r="I71" i="12"/>
  <c r="I89" i="12"/>
  <c r="R322" i="12" l="1"/>
  <c r="M32" i="12"/>
  <c r="R222" i="12"/>
  <c r="R213" i="12"/>
  <c r="R238" i="12"/>
  <c r="M213" i="12"/>
  <c r="R60" i="12"/>
  <c r="R198" i="12"/>
  <c r="R48" i="12"/>
  <c r="R289" i="12"/>
  <c r="Q264" i="12"/>
  <c r="R264" i="12" s="1"/>
  <c r="M264" i="12"/>
  <c r="M272" i="12"/>
  <c r="Q272" i="12"/>
  <c r="R272" i="12" s="1"/>
  <c r="Q124" i="12"/>
  <c r="R124" i="12" s="1"/>
  <c r="M124" i="12"/>
  <c r="R11" i="12"/>
  <c r="M98" i="12"/>
  <c r="Q98" i="12"/>
  <c r="R98" i="12" s="1"/>
  <c r="R271" i="12"/>
  <c r="R94" i="12"/>
  <c r="M158" i="12"/>
  <c r="Q158" i="12"/>
  <c r="R158" i="12" s="1"/>
  <c r="R14" i="12"/>
  <c r="M319" i="12"/>
  <c r="Q319" i="12"/>
  <c r="R319" i="12" s="1"/>
  <c r="M320" i="12"/>
  <c r="Q320" i="12"/>
  <c r="R320" i="12" s="1"/>
  <c r="Q261" i="12"/>
  <c r="R261" i="12" s="1"/>
  <c r="M261" i="12"/>
  <c r="M197" i="12"/>
  <c r="Q197" i="12"/>
  <c r="R197" i="12" s="1"/>
  <c r="Q118" i="12"/>
  <c r="R118" i="12" s="1"/>
  <c r="M118" i="12"/>
  <c r="Q328" i="12"/>
  <c r="R328" i="12" s="1"/>
  <c r="M328" i="12"/>
  <c r="R126" i="12"/>
  <c r="Q248" i="12"/>
  <c r="R248" i="12" s="1"/>
  <c r="M248" i="12"/>
  <c r="Q106" i="12"/>
  <c r="R106" i="12" s="1"/>
  <c r="M106" i="12"/>
  <c r="Q51" i="12"/>
  <c r="R51" i="12" s="1"/>
  <c r="M51" i="12"/>
  <c r="M205" i="12"/>
  <c r="Q205" i="12"/>
  <c r="R205" i="12" s="1"/>
  <c r="R110" i="12"/>
  <c r="Q180" i="12"/>
  <c r="R180" i="12" s="1"/>
  <c r="M180" i="12"/>
  <c r="Q55" i="12"/>
  <c r="R55" i="12" s="1"/>
  <c r="M55" i="12"/>
  <c r="Q59" i="12"/>
  <c r="R59" i="12" s="1"/>
  <c r="M59" i="12"/>
  <c r="Q71" i="12"/>
  <c r="R71" i="12" s="1"/>
  <c r="M71" i="12"/>
  <c r="Q206" i="12"/>
  <c r="R206" i="12" s="1"/>
  <c r="M206" i="12"/>
  <c r="C6" i="2"/>
  <c r="D6" i="2"/>
  <c r="B65" i="1"/>
  <c r="C234" i="12" s="1"/>
  <c r="C227" i="10" s="1"/>
  <c r="B63" i="1"/>
  <c r="C232" i="12" s="1"/>
  <c r="C225" i="10" s="1"/>
  <c r="B61" i="1"/>
  <c r="C230" i="12" s="1"/>
  <c r="C223" i="10" s="1"/>
  <c r="B59" i="1"/>
  <c r="C228" i="12" s="1"/>
  <c r="B57" i="1"/>
  <c r="C226" i="12" s="1"/>
  <c r="B55" i="1"/>
  <c r="C224" i="12" s="1"/>
  <c r="B53" i="1"/>
  <c r="C222" i="12" s="1"/>
  <c r="C221" i="10" s="1"/>
  <c r="B51" i="1"/>
  <c r="C220" i="12" s="1"/>
  <c r="C219" i="10" s="1"/>
  <c r="B49" i="1"/>
  <c r="C218" i="12" s="1"/>
  <c r="C217" i="10" s="1"/>
  <c r="B47" i="1"/>
  <c r="C216" i="12" s="1"/>
  <c r="C215" i="10" s="1"/>
  <c r="B45" i="1"/>
  <c r="C214" i="12" s="1"/>
  <c r="C213" i="10" s="1"/>
  <c r="B43" i="1"/>
  <c r="C212" i="12" s="1"/>
  <c r="C211" i="10" s="1"/>
  <c r="B41" i="1"/>
  <c r="C210" i="12" s="1"/>
  <c r="C209" i="10" s="1"/>
  <c r="B39" i="1"/>
  <c r="C208" i="12" s="1"/>
  <c r="C207" i="10" s="1"/>
  <c r="B37" i="1"/>
  <c r="C206" i="12" s="1"/>
  <c r="C205" i="10" s="1"/>
  <c r="B35" i="1"/>
  <c r="C204" i="12" s="1"/>
  <c r="C203" i="10" s="1"/>
  <c r="B33" i="1"/>
  <c r="C202" i="12" s="1"/>
  <c r="C201" i="10" s="1"/>
  <c r="B31" i="1"/>
  <c r="C200" i="12" s="1"/>
  <c r="C199" i="10" s="1"/>
  <c r="B29" i="1"/>
  <c r="C198" i="12" s="1"/>
  <c r="C197" i="10" s="1"/>
  <c r="B27" i="1"/>
  <c r="C196" i="12" s="1"/>
  <c r="C195" i="10" s="1"/>
  <c r="B25" i="1"/>
  <c r="C194" i="12" s="1"/>
  <c r="C193" i="10" s="1"/>
  <c r="B23" i="1"/>
  <c r="C192" i="12" s="1"/>
  <c r="C191" i="10" s="1"/>
  <c r="B21" i="1"/>
  <c r="C190" i="12" s="1"/>
  <c r="C189" i="10" s="1"/>
  <c r="B19" i="1"/>
  <c r="C188" i="12" s="1"/>
  <c r="C187" i="10" s="1"/>
  <c r="B17" i="1"/>
  <c r="C186" i="12" s="1"/>
  <c r="C185" i="10" s="1"/>
  <c r="B15" i="1"/>
  <c r="C184" i="12" s="1"/>
  <c r="C183" i="10" s="1"/>
  <c r="B13" i="1"/>
  <c r="C182" i="12" s="1"/>
  <c r="C181" i="10" s="1"/>
  <c r="B11" i="1"/>
  <c r="C180" i="12" s="1"/>
  <c r="C179" i="10" s="1"/>
  <c r="B9" i="1"/>
  <c r="C178" i="12" s="1"/>
  <c r="C177" i="10" s="1"/>
  <c r="B7" i="1"/>
  <c r="C176" i="12" s="1"/>
  <c r="C175" i="10" s="1"/>
  <c r="B5" i="1"/>
  <c r="C174" i="12" s="1"/>
  <c r="C173" i="10" s="1"/>
  <c r="B3" i="1"/>
  <c r="C172" i="12" s="1"/>
  <c r="C171" i="10" s="1"/>
  <c r="B58" i="1"/>
  <c r="C227" i="12" s="1"/>
  <c r="B50" i="1"/>
  <c r="C219" i="12" s="1"/>
  <c r="C218" i="10" s="1"/>
  <c r="B42" i="1"/>
  <c r="C211" i="12" s="1"/>
  <c r="C210" i="10" s="1"/>
  <c r="B34" i="1"/>
  <c r="C203" i="12" s="1"/>
  <c r="C202" i="10" s="1"/>
  <c r="B26" i="1"/>
  <c r="C195" i="12" s="1"/>
  <c r="C194" i="10" s="1"/>
  <c r="B18" i="1"/>
  <c r="C187" i="12" s="1"/>
  <c r="C186" i="10" s="1"/>
  <c r="B10" i="1"/>
  <c r="C179" i="12" s="1"/>
  <c r="C178" i="10" s="1"/>
  <c r="B64" i="1"/>
  <c r="C233" i="12" s="1"/>
  <c r="C226" i="10" s="1"/>
  <c r="B56" i="1"/>
  <c r="C225" i="12" s="1"/>
  <c r="B48" i="1"/>
  <c r="C217" i="12" s="1"/>
  <c r="C216" i="10" s="1"/>
  <c r="B40" i="1"/>
  <c r="C209" i="12" s="1"/>
  <c r="C208" i="10" s="1"/>
  <c r="B32" i="1"/>
  <c r="C201" i="12" s="1"/>
  <c r="C200" i="10" s="1"/>
  <c r="B24" i="1"/>
  <c r="C193" i="12" s="1"/>
  <c r="C192" i="10" s="1"/>
  <c r="B16" i="1"/>
  <c r="C185" i="12" s="1"/>
  <c r="C184" i="10" s="1"/>
  <c r="B8" i="1"/>
  <c r="C177" i="12" s="1"/>
  <c r="C176" i="10" s="1"/>
  <c r="B62" i="1"/>
  <c r="C231" i="12" s="1"/>
  <c r="C224" i="10" s="1"/>
  <c r="B54" i="1"/>
  <c r="C223" i="12" s="1"/>
  <c r="B46" i="1"/>
  <c r="C215" i="12" s="1"/>
  <c r="C214" i="10" s="1"/>
  <c r="B38" i="1"/>
  <c r="C207" i="12" s="1"/>
  <c r="C206" i="10" s="1"/>
  <c r="B30" i="1"/>
  <c r="C199" i="12" s="1"/>
  <c r="C198" i="10" s="1"/>
  <c r="B22" i="1"/>
  <c r="C191" i="12" s="1"/>
  <c r="C190" i="10" s="1"/>
  <c r="B14" i="1"/>
  <c r="C183" i="12" s="1"/>
  <c r="C182" i="10" s="1"/>
  <c r="B6" i="1"/>
  <c r="C175" i="12" s="1"/>
  <c r="C174" i="10" s="1"/>
  <c r="B2" i="1"/>
  <c r="C171" i="12" s="1"/>
  <c r="C170" i="10" s="1"/>
  <c r="B60" i="1"/>
  <c r="C229" i="12" s="1"/>
  <c r="C222" i="10" s="1"/>
  <c r="B52" i="1"/>
  <c r="C221" i="12" s="1"/>
  <c r="C220" i="10" s="1"/>
  <c r="B44" i="1"/>
  <c r="C213" i="12" s="1"/>
  <c r="C212" i="10" s="1"/>
  <c r="B36" i="1"/>
  <c r="C205" i="12" s="1"/>
  <c r="C204" i="10" s="1"/>
  <c r="B28" i="1"/>
  <c r="C197" i="12" s="1"/>
  <c r="C196" i="10" s="1"/>
  <c r="B20" i="1"/>
  <c r="C189" i="12" s="1"/>
  <c r="C188" i="10" s="1"/>
  <c r="B12" i="1"/>
  <c r="C181" i="12" s="1"/>
  <c r="C180" i="10" s="1"/>
  <c r="B4" i="1"/>
  <c r="C173" i="12" s="1"/>
  <c r="C172" i="10" s="1"/>
  <c r="Q218" i="12"/>
  <c r="R218" i="12" s="1"/>
  <c r="M218" i="12"/>
  <c r="R265" i="12"/>
  <c r="Q103" i="12"/>
  <c r="R103" i="12" s="1"/>
  <c r="M103" i="12"/>
  <c r="Q155" i="12"/>
  <c r="R155" i="12" s="1"/>
  <c r="M155" i="12"/>
  <c r="R167" i="12"/>
  <c r="Q68" i="12"/>
  <c r="R68" i="12" s="1"/>
  <c r="M68" i="12"/>
  <c r="Q111" i="12"/>
  <c r="R111" i="12" s="1"/>
  <c r="M111" i="12"/>
  <c r="Q306" i="12"/>
  <c r="M306" i="12"/>
  <c r="Q182" i="12"/>
  <c r="R182" i="12" s="1"/>
  <c r="M182" i="12"/>
  <c r="B7" i="13"/>
  <c r="C8" i="12" s="1"/>
  <c r="C7" i="10" s="1"/>
  <c r="A8" i="13"/>
  <c r="Q79" i="12"/>
  <c r="R79" i="12" s="1"/>
  <c r="M79" i="12"/>
  <c r="Q84" i="12"/>
  <c r="R84" i="12" s="1"/>
  <c r="M84" i="12"/>
  <c r="Q89" i="12"/>
  <c r="R89" i="12" s="1"/>
  <c r="M89" i="12"/>
  <c r="M18" i="12"/>
  <c r="Q18" i="12"/>
  <c r="R18" i="12" s="1"/>
  <c r="A83" i="9"/>
  <c r="B82" i="9"/>
  <c r="C99" i="12" s="1"/>
  <c r="C98" i="10" s="1"/>
  <c r="R306" i="12"/>
  <c r="Q87" i="12"/>
  <c r="R87" i="12" s="1"/>
  <c r="M87" i="12"/>
  <c r="R190" i="12"/>
  <c r="Q204" i="12"/>
  <c r="R204" i="12" s="1"/>
  <c r="M204" i="12"/>
  <c r="R287" i="12"/>
  <c r="B7" i="2" l="1"/>
  <c r="E6" i="2"/>
  <c r="B8" i="13"/>
  <c r="C9" i="12" s="1"/>
  <c r="C8" i="10" s="1"/>
  <c r="A9" i="13"/>
  <c r="A84" i="9"/>
  <c r="B83" i="9"/>
  <c r="C100" i="12" s="1"/>
  <c r="C99" i="10" s="1"/>
  <c r="B9" i="13" l="1"/>
  <c r="C10" i="12" s="1"/>
  <c r="C9" i="10" s="1"/>
  <c r="A10" i="13"/>
  <c r="A85" i="9"/>
  <c r="B84" i="9"/>
  <c r="C101" i="12" s="1"/>
  <c r="C100" i="10" s="1"/>
  <c r="C7" i="2"/>
  <c r="D7" i="2"/>
  <c r="B33" i="5"/>
  <c r="C266" i="12" s="1"/>
  <c r="C259" i="10" s="1"/>
  <c r="B31" i="5"/>
  <c r="C264" i="12" s="1"/>
  <c r="C257" i="10" s="1"/>
  <c r="B29" i="5"/>
  <c r="C262" i="12" s="1"/>
  <c r="C255" i="10" s="1"/>
  <c r="B27" i="5"/>
  <c r="C260" i="12" s="1"/>
  <c r="C253" i="10" s="1"/>
  <c r="B25" i="5"/>
  <c r="C258" i="12" s="1"/>
  <c r="C251" i="10" s="1"/>
  <c r="B23" i="5"/>
  <c r="C256" i="12" s="1"/>
  <c r="C249" i="10" s="1"/>
  <c r="B21" i="5"/>
  <c r="C254" i="12" s="1"/>
  <c r="C247" i="10" s="1"/>
  <c r="B19" i="5"/>
  <c r="C252" i="12" s="1"/>
  <c r="C245" i="10" s="1"/>
  <c r="B17" i="5"/>
  <c r="C250" i="12" s="1"/>
  <c r="C243" i="10" s="1"/>
  <c r="B15" i="5"/>
  <c r="C248" i="12" s="1"/>
  <c r="C241" i="10" s="1"/>
  <c r="B13" i="5"/>
  <c r="C246" i="12" s="1"/>
  <c r="C239" i="10" s="1"/>
  <c r="B11" i="5"/>
  <c r="C244" i="12" s="1"/>
  <c r="C237" i="10" s="1"/>
  <c r="B9" i="5"/>
  <c r="C242" i="12" s="1"/>
  <c r="C235" i="10" s="1"/>
  <c r="B7" i="5"/>
  <c r="C240" i="12" s="1"/>
  <c r="C233" i="10" s="1"/>
  <c r="B5" i="5"/>
  <c r="C238" i="12" s="1"/>
  <c r="C231" i="10" s="1"/>
  <c r="B3" i="5"/>
  <c r="C236" i="12" s="1"/>
  <c r="C229" i="10" s="1"/>
  <c r="B32" i="5"/>
  <c r="C265" i="12" s="1"/>
  <c r="C258" i="10" s="1"/>
  <c r="B30" i="5"/>
  <c r="C263" i="12" s="1"/>
  <c r="C256" i="10" s="1"/>
  <c r="B28" i="5"/>
  <c r="C261" i="12" s="1"/>
  <c r="C254" i="10" s="1"/>
  <c r="B26" i="5"/>
  <c r="C259" i="12" s="1"/>
  <c r="C252" i="10" s="1"/>
  <c r="B24" i="5"/>
  <c r="C257" i="12" s="1"/>
  <c r="C250" i="10" s="1"/>
  <c r="B22" i="5"/>
  <c r="C255" i="12" s="1"/>
  <c r="C248" i="10" s="1"/>
  <c r="B20" i="5"/>
  <c r="C253" i="12" s="1"/>
  <c r="C246" i="10" s="1"/>
  <c r="B18" i="5"/>
  <c r="C251" i="12" s="1"/>
  <c r="C244" i="10" s="1"/>
  <c r="B16" i="5"/>
  <c r="C249" i="12" s="1"/>
  <c r="C242" i="10" s="1"/>
  <c r="B14" i="5"/>
  <c r="C247" i="12" s="1"/>
  <c r="C240" i="10" s="1"/>
  <c r="B12" i="5"/>
  <c r="C245" i="12" s="1"/>
  <c r="C238" i="10" s="1"/>
  <c r="B10" i="5"/>
  <c r="C243" i="12" s="1"/>
  <c r="C236" i="10" s="1"/>
  <c r="B8" i="5"/>
  <c r="C241" i="12" s="1"/>
  <c r="C234" i="10" s="1"/>
  <c r="B6" i="5"/>
  <c r="C239" i="12" s="1"/>
  <c r="C232" i="10" s="1"/>
  <c r="B4" i="5"/>
  <c r="C237" i="12" s="1"/>
  <c r="C230" i="10" s="1"/>
  <c r="B2" i="5"/>
  <c r="C235" i="12" s="1"/>
  <c r="C228" i="10" s="1"/>
  <c r="A86" i="9" l="1"/>
  <c r="B85" i="9"/>
  <c r="C102" i="12" s="1"/>
  <c r="C101" i="10" s="1"/>
  <c r="B10" i="13"/>
  <c r="C11" i="12" s="1"/>
  <c r="C10" i="10" s="1"/>
  <c r="A11" i="13"/>
  <c r="B8" i="2"/>
  <c r="E7" i="2"/>
  <c r="B11" i="13" l="1"/>
  <c r="C12" i="12" s="1"/>
  <c r="C11" i="10" s="1"/>
  <c r="A12" i="13"/>
  <c r="C8" i="2"/>
  <c r="D8" i="2"/>
  <c r="B33" i="6"/>
  <c r="C298" i="12" s="1"/>
  <c r="C291" i="10" s="1"/>
  <c r="B29" i="6"/>
  <c r="C294" i="12" s="1"/>
  <c r="C287" i="10" s="1"/>
  <c r="B27" i="6"/>
  <c r="C292" i="12" s="1"/>
  <c r="C285" i="10" s="1"/>
  <c r="B23" i="6"/>
  <c r="C288" i="12" s="1"/>
  <c r="C281" i="10" s="1"/>
  <c r="B21" i="6"/>
  <c r="C286" i="12" s="1"/>
  <c r="C279" i="10" s="1"/>
  <c r="B19" i="6"/>
  <c r="C284" i="12" s="1"/>
  <c r="C277" i="10" s="1"/>
  <c r="B15" i="6"/>
  <c r="C280" i="12" s="1"/>
  <c r="C273" i="10" s="1"/>
  <c r="B13" i="6"/>
  <c r="C278" i="12" s="1"/>
  <c r="C271" i="10" s="1"/>
  <c r="B9" i="6"/>
  <c r="C274" i="12" s="1"/>
  <c r="C267" i="10" s="1"/>
  <c r="B5" i="6"/>
  <c r="C270" i="12" s="1"/>
  <c r="C263" i="10" s="1"/>
  <c r="B3" i="6"/>
  <c r="C268" i="12" s="1"/>
  <c r="C261" i="10" s="1"/>
  <c r="B31" i="6"/>
  <c r="C296" i="12" s="1"/>
  <c r="C289" i="10" s="1"/>
  <c r="B25" i="6"/>
  <c r="C290" i="12" s="1"/>
  <c r="C283" i="10" s="1"/>
  <c r="B17" i="6"/>
  <c r="C282" i="12" s="1"/>
  <c r="C275" i="10" s="1"/>
  <c r="B11" i="6"/>
  <c r="C276" i="12" s="1"/>
  <c r="C269" i="10" s="1"/>
  <c r="B7" i="6"/>
  <c r="C272" i="12" s="1"/>
  <c r="C265" i="10" s="1"/>
  <c r="B32" i="6"/>
  <c r="C297" i="12" s="1"/>
  <c r="C290" i="10" s="1"/>
  <c r="B30" i="6"/>
  <c r="C295" i="12" s="1"/>
  <c r="C288" i="10" s="1"/>
  <c r="B28" i="6"/>
  <c r="C293" i="12" s="1"/>
  <c r="C286" i="10" s="1"/>
  <c r="B26" i="6"/>
  <c r="C291" i="12" s="1"/>
  <c r="C284" i="10" s="1"/>
  <c r="B24" i="6"/>
  <c r="C289" i="12" s="1"/>
  <c r="C282" i="10" s="1"/>
  <c r="B22" i="6"/>
  <c r="C287" i="12" s="1"/>
  <c r="C280" i="10" s="1"/>
  <c r="B20" i="6"/>
  <c r="C285" i="12" s="1"/>
  <c r="C278" i="10" s="1"/>
  <c r="B18" i="6"/>
  <c r="C283" i="12" s="1"/>
  <c r="C276" i="10" s="1"/>
  <c r="B16" i="6"/>
  <c r="C281" i="12" s="1"/>
  <c r="C274" i="10" s="1"/>
  <c r="B14" i="6"/>
  <c r="C279" i="12" s="1"/>
  <c r="C272" i="10" s="1"/>
  <c r="B12" i="6"/>
  <c r="C277" i="12" s="1"/>
  <c r="C270" i="10" s="1"/>
  <c r="B10" i="6"/>
  <c r="C275" i="12" s="1"/>
  <c r="C268" i="10" s="1"/>
  <c r="B8" i="6"/>
  <c r="C273" i="12" s="1"/>
  <c r="C266" i="10" s="1"/>
  <c r="B6" i="6"/>
  <c r="C271" i="12" s="1"/>
  <c r="C264" i="10" s="1"/>
  <c r="B4" i="6"/>
  <c r="C269" i="12" s="1"/>
  <c r="C262" i="10" s="1"/>
  <c r="B2" i="6"/>
  <c r="C267" i="12" s="1"/>
  <c r="C260" i="10" s="1"/>
  <c r="A87" i="9"/>
  <c r="B86" i="9"/>
  <c r="C103" i="12" s="1"/>
  <c r="C102" i="10" s="1"/>
  <c r="B9" i="2" l="1"/>
  <c r="E8" i="2"/>
  <c r="B12" i="13"/>
  <c r="C13" i="12" s="1"/>
  <c r="C12" i="10" s="1"/>
  <c r="A13" i="13"/>
  <c r="A88" i="9"/>
  <c r="B87" i="9"/>
  <c r="C104" i="12" s="1"/>
  <c r="C103" i="10" s="1"/>
  <c r="B13" i="13" l="1"/>
  <c r="C14" i="12" s="1"/>
  <c r="C13" i="10" s="1"/>
  <c r="A14" i="13"/>
  <c r="A89" i="9"/>
  <c r="B88" i="9"/>
  <c r="C105" i="12" s="1"/>
  <c r="C104" i="10" s="1"/>
  <c r="C9" i="2"/>
  <c r="E9" i="2" s="1"/>
  <c r="D9" i="2"/>
  <c r="B32" i="7"/>
  <c r="C329" i="12" s="1"/>
  <c r="C322" i="10" s="1"/>
  <c r="B30" i="7"/>
  <c r="C327" i="12" s="1"/>
  <c r="C320" i="10" s="1"/>
  <c r="B28" i="7"/>
  <c r="C325" i="12" s="1"/>
  <c r="C318" i="10" s="1"/>
  <c r="B26" i="7"/>
  <c r="C323" i="12" s="1"/>
  <c r="C316" i="10" s="1"/>
  <c r="B24" i="7"/>
  <c r="C321" i="12" s="1"/>
  <c r="C314" i="10" s="1"/>
  <c r="B22" i="7"/>
  <c r="C319" i="12" s="1"/>
  <c r="C312" i="10" s="1"/>
  <c r="B20" i="7"/>
  <c r="C317" i="12" s="1"/>
  <c r="C310" i="10" s="1"/>
  <c r="B18" i="7"/>
  <c r="C315" i="12" s="1"/>
  <c r="C308" i="10" s="1"/>
  <c r="B16" i="7"/>
  <c r="C313" i="12" s="1"/>
  <c r="C306" i="10" s="1"/>
  <c r="B14" i="7"/>
  <c r="C311" i="12" s="1"/>
  <c r="C304" i="10" s="1"/>
  <c r="B12" i="7"/>
  <c r="C309" i="12" s="1"/>
  <c r="C302" i="10" s="1"/>
  <c r="B10" i="7"/>
  <c r="C307" i="12" s="1"/>
  <c r="C300" i="10" s="1"/>
  <c r="B8" i="7"/>
  <c r="C305" i="12" s="1"/>
  <c r="C298" i="10" s="1"/>
  <c r="B6" i="7"/>
  <c r="C303" i="12" s="1"/>
  <c r="C296" i="10" s="1"/>
  <c r="B4" i="7"/>
  <c r="C301" i="12" s="1"/>
  <c r="C294" i="10" s="1"/>
  <c r="B2" i="7"/>
  <c r="C299" i="12" s="1"/>
  <c r="C292" i="10" s="1"/>
  <c r="B33" i="7"/>
  <c r="C330" i="12" s="1"/>
  <c r="C323" i="10" s="1"/>
  <c r="B31" i="7"/>
  <c r="C328" i="12" s="1"/>
  <c r="C321" i="10" s="1"/>
  <c r="B29" i="7"/>
  <c r="C326" i="12" s="1"/>
  <c r="C319" i="10" s="1"/>
  <c r="B27" i="7"/>
  <c r="C324" i="12" s="1"/>
  <c r="C317" i="10" s="1"/>
  <c r="B25" i="7"/>
  <c r="C322" i="12" s="1"/>
  <c r="C315" i="10" s="1"/>
  <c r="B23" i="7"/>
  <c r="C320" i="12" s="1"/>
  <c r="C313" i="10" s="1"/>
  <c r="B21" i="7"/>
  <c r="C318" i="12" s="1"/>
  <c r="C311" i="10" s="1"/>
  <c r="B19" i="7"/>
  <c r="C316" i="12" s="1"/>
  <c r="C309" i="10" s="1"/>
  <c r="B17" i="7"/>
  <c r="C314" i="12" s="1"/>
  <c r="C307" i="10" s="1"/>
  <c r="B15" i="7"/>
  <c r="C312" i="12" s="1"/>
  <c r="C305" i="10" s="1"/>
  <c r="B13" i="7"/>
  <c r="C310" i="12" s="1"/>
  <c r="C303" i="10" s="1"/>
  <c r="B11" i="7"/>
  <c r="C308" i="12" s="1"/>
  <c r="C301" i="10" s="1"/>
  <c r="B9" i="7"/>
  <c r="C306" i="12" s="1"/>
  <c r="C299" i="10" s="1"/>
  <c r="B7" i="7"/>
  <c r="C304" i="12" s="1"/>
  <c r="C297" i="10" s="1"/>
  <c r="B5" i="7"/>
  <c r="C302" i="12" s="1"/>
  <c r="C295" i="10" s="1"/>
  <c r="B3" i="7"/>
  <c r="C300" i="12" s="1"/>
  <c r="C293" i="10" s="1"/>
  <c r="A90" i="9" l="1"/>
  <c r="B89" i="9"/>
  <c r="C106" i="12" s="1"/>
  <c r="C105" i="10" s="1"/>
  <c r="B14" i="13"/>
  <c r="C15" i="12" s="1"/>
  <c r="C14" i="10" s="1"/>
  <c r="A15" i="13"/>
  <c r="B15" i="13" l="1"/>
  <c r="C16" i="12" s="1"/>
  <c r="C15" i="10" s="1"/>
  <c r="A16" i="13"/>
  <c r="A91" i="9"/>
  <c r="B90" i="9"/>
  <c r="C107" i="12" s="1"/>
  <c r="C106" i="10" s="1"/>
  <c r="A92" i="9" l="1"/>
  <c r="B91" i="9"/>
  <c r="C108" i="12" s="1"/>
  <c r="C107" i="10" s="1"/>
  <c r="B16" i="13"/>
  <c r="C17" i="12" s="1"/>
  <c r="C16" i="10" s="1"/>
  <c r="A17" i="13"/>
  <c r="B17" i="13" s="1"/>
  <c r="C18" i="12" s="1"/>
  <c r="C17" i="10" s="1"/>
  <c r="A93" i="9" l="1"/>
  <c r="B92" i="9"/>
  <c r="C109" i="12" s="1"/>
  <c r="C108" i="10" s="1"/>
  <c r="A94" i="9" l="1"/>
  <c r="B93" i="9"/>
  <c r="C110" i="12" s="1"/>
  <c r="C109" i="10" s="1"/>
  <c r="A95" i="9" l="1"/>
  <c r="B94" i="9"/>
  <c r="C111" i="12" s="1"/>
  <c r="C110" i="10" s="1"/>
  <c r="A96" i="9" l="1"/>
  <c r="B95" i="9"/>
  <c r="C112" i="12" s="1"/>
  <c r="C111" i="10" s="1"/>
  <c r="A97" i="9" l="1"/>
  <c r="B96" i="9"/>
  <c r="C113" i="12" s="1"/>
  <c r="C112" i="10" s="1"/>
  <c r="A98" i="9" l="1"/>
  <c r="B97" i="9"/>
  <c r="C114" i="12" s="1"/>
  <c r="C113" i="10" s="1"/>
  <c r="A99" i="9" l="1"/>
  <c r="B98" i="9"/>
  <c r="C115" i="12" s="1"/>
  <c r="C114" i="10" s="1"/>
  <c r="A100" i="9" l="1"/>
  <c r="B99" i="9"/>
  <c r="C116" i="12" s="1"/>
  <c r="C115" i="10" s="1"/>
  <c r="A101" i="9" l="1"/>
  <c r="B100" i="9"/>
  <c r="C117" i="12" s="1"/>
  <c r="C116" i="10" s="1"/>
  <c r="A102" i="9" l="1"/>
  <c r="B101" i="9"/>
  <c r="C118" i="12" s="1"/>
  <c r="C117" i="10" s="1"/>
  <c r="A103" i="9" l="1"/>
  <c r="B102" i="9"/>
  <c r="C119" i="12" s="1"/>
  <c r="C118" i="10" s="1"/>
  <c r="A104" i="9" l="1"/>
  <c r="B103" i="9"/>
  <c r="C120" i="12" s="1"/>
  <c r="C119" i="10" s="1"/>
  <c r="A105" i="9" l="1"/>
  <c r="B104" i="9"/>
  <c r="C121" i="12" s="1"/>
  <c r="C120" i="10" s="1"/>
  <c r="A106" i="9" l="1"/>
  <c r="B105" i="9"/>
  <c r="C122" i="12" s="1"/>
  <c r="C121" i="10" s="1"/>
  <c r="A107" i="9" l="1"/>
  <c r="B106" i="9"/>
  <c r="C123" i="12" s="1"/>
  <c r="C122" i="10" s="1"/>
  <c r="A108" i="9" l="1"/>
  <c r="B107" i="9"/>
  <c r="C124" i="12" s="1"/>
  <c r="C123" i="10" s="1"/>
  <c r="A109" i="9" l="1"/>
  <c r="B108" i="9"/>
  <c r="C125" i="12" s="1"/>
  <c r="C124" i="10" s="1"/>
  <c r="A110" i="9" l="1"/>
  <c r="B109" i="9"/>
  <c r="C126" i="12" s="1"/>
  <c r="C125" i="10" s="1"/>
  <c r="A111" i="9" l="1"/>
  <c r="B110" i="9"/>
  <c r="C127" i="12" s="1"/>
  <c r="C126" i="10" s="1"/>
  <c r="A112" i="9" l="1"/>
  <c r="B111" i="9"/>
  <c r="C128" i="12" s="1"/>
  <c r="C127" i="10" s="1"/>
  <c r="A113" i="9" l="1"/>
  <c r="B112" i="9"/>
  <c r="C129" i="12" s="1"/>
  <c r="C128" i="10" s="1"/>
  <c r="A114" i="9" l="1"/>
  <c r="B113" i="9"/>
  <c r="C130" i="12" s="1"/>
  <c r="C129" i="10" s="1"/>
  <c r="A115" i="9" l="1"/>
  <c r="B114" i="9"/>
  <c r="C131" i="12" s="1"/>
  <c r="C130" i="10" s="1"/>
  <c r="A116" i="9" l="1"/>
  <c r="B115" i="9"/>
  <c r="C132" i="12" s="1"/>
  <c r="C131" i="10" s="1"/>
  <c r="A117" i="9" l="1"/>
  <c r="B116" i="9"/>
  <c r="C133" i="12" s="1"/>
  <c r="C132" i="10" s="1"/>
  <c r="A118" i="9" l="1"/>
  <c r="B117" i="9"/>
  <c r="C134" i="12" s="1"/>
  <c r="C133" i="10" s="1"/>
  <c r="A119" i="9" l="1"/>
  <c r="B118" i="9"/>
  <c r="C135" i="12" s="1"/>
  <c r="C134" i="10" s="1"/>
  <c r="A120" i="9" l="1"/>
  <c r="B119" i="9"/>
  <c r="C136" i="12" s="1"/>
  <c r="C135" i="10" s="1"/>
  <c r="A121" i="9" l="1"/>
  <c r="B121" i="9" s="1"/>
  <c r="C138" i="12" s="1"/>
  <c r="C137" i="10" s="1"/>
  <c r="B120" i="9"/>
  <c r="C137" i="12" s="1"/>
  <c r="C13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Mike Tetmeyer</author>
  </authors>
  <commentList>
    <comment ref="D2" authorId="0" shapeId="0" xr:uid="{E8CB4EBF-37C7-417D-A2D5-AA6592ACECAC}">
      <text>
        <r>
          <rPr>
            <sz val="9"/>
            <color indexed="81"/>
            <rFont val="Tahoma"/>
            <family val="2"/>
          </rPr>
          <t xml:space="preserve">Default Parameter Revision Level:
DO NOT MODIFY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 Benner</author>
    <author>Mike Tetmeyer</author>
  </authors>
  <commentList>
    <comment ref="D2" authorId="0" shapeId="0" xr:uid="{A5F89849-047D-49F8-ADCD-35BCA326002B}">
      <text>
        <r>
          <rPr>
            <b/>
            <sz val="9"/>
            <color indexed="81"/>
            <rFont val="Tahoma"/>
            <family val="2"/>
          </rPr>
          <t xml:space="preserve">First  four characters of motor model number in configured system
</t>
        </r>
      </text>
    </comment>
    <comment ref="D3" authorId="0" shapeId="0" xr:uid="{1319D986-FFC6-426D-ABA6-489640D958F9}">
      <text>
        <r>
          <rPr>
            <b/>
            <sz val="9"/>
            <color indexed="81"/>
            <rFont val="Tahoma"/>
            <family val="2"/>
          </rPr>
          <t>Next  four characters of motor model number 
[0 if blank]</t>
        </r>
      </text>
    </comment>
    <comment ref="D4" authorId="0" shapeId="0" xr:uid="{FBED4A46-5231-4074-97DA-B54B15D26EFE}">
      <text>
        <r>
          <rPr>
            <b/>
            <sz val="9"/>
            <color indexed="81"/>
            <rFont val="Tahoma"/>
            <family val="2"/>
          </rPr>
          <t>Next  four characters of motor model number 
[0 if blank]</t>
        </r>
      </text>
    </comment>
    <comment ref="D5" authorId="0" shapeId="0" xr:uid="{67293EE8-123D-48CE-82E1-36F12AABB4EA}">
      <text>
        <r>
          <rPr>
            <b/>
            <sz val="9"/>
            <color indexed="81"/>
            <rFont val="Tahoma"/>
            <family val="2"/>
          </rPr>
          <t>Next  four characters of motor model number 
[0 if blank]</t>
        </r>
      </text>
    </comment>
    <comment ref="D6" authorId="0" shapeId="0" xr:uid="{EF293287-B1FD-4282-AECB-C39EA8C26250}">
      <text>
        <r>
          <rPr>
            <b/>
            <sz val="9"/>
            <color indexed="81"/>
            <rFont val="Tahoma"/>
            <family val="2"/>
          </rPr>
          <t>Enter the inductance of the motor in micro henrys</t>
        </r>
      </text>
    </comment>
    <comment ref="D7" authorId="0" shapeId="0" xr:uid="{81F37994-EBA4-48D1-8C1D-224619F8D848}">
      <text>
        <r>
          <rPr>
            <b/>
            <sz val="9"/>
            <color indexed="81"/>
            <rFont val="Tahoma"/>
            <family val="2"/>
          </rPr>
          <t>Enter the resistance of the motor in mOhms</t>
        </r>
      </text>
    </comment>
    <comment ref="D8" authorId="0" shapeId="0" xr:uid="{9A75A48C-7BFB-4779-95C7-86AC41B1A817}">
      <text>
        <r>
          <rPr>
            <b/>
            <sz val="9"/>
            <color indexed="81"/>
            <rFont val="Tahoma"/>
            <family val="2"/>
          </rPr>
          <t>Enter the number of poles in the motor</t>
        </r>
      </text>
    </comment>
    <comment ref="D9" authorId="1" shapeId="0" xr:uid="{8CDC4E96-418C-4E93-92AF-37583C0CD4D7}">
      <text>
        <r>
          <rPr>
            <sz val="9"/>
            <color indexed="81"/>
            <rFont val="Tahoma"/>
            <family val="2"/>
          </rPr>
          <t xml:space="preserve">emter motor torque constant in micro Newton-Meters per Amp
</t>
        </r>
      </text>
    </comment>
    <comment ref="D10" authorId="0" shapeId="0" xr:uid="{5E0E11CC-AA4B-46C5-9856-52915BDF0B28}">
      <text>
        <r>
          <rPr>
            <b/>
            <sz val="9"/>
            <color indexed="81"/>
            <rFont val="Tahoma"/>
            <family val="2"/>
          </rPr>
          <t>Mootr rated continous current in unit milliamps</t>
        </r>
      </text>
    </comment>
    <comment ref="D11" authorId="0" shapeId="0" xr:uid="{6149BD0A-1350-439F-BA16-D44CFBA5162A}">
      <text>
        <r>
          <rPr>
            <b/>
            <sz val="9"/>
            <color indexed="81"/>
            <rFont val="Tahoma"/>
            <family val="2"/>
          </rPr>
          <t>Motor  rated peak current in units milliamps</t>
        </r>
      </text>
    </comment>
    <comment ref="D12" authorId="0" shapeId="0" xr:uid="{94DE37F1-8969-428C-87C9-D54D300CC451}">
      <text>
        <r>
          <rPr>
            <b/>
            <sz val="9"/>
            <color indexed="81"/>
            <rFont val="Tahoma"/>
            <family val="2"/>
          </rPr>
          <t>Motor mechanical maximum speed limit in units revolutions per minute [RPM]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 Benner</author>
    <author>Mike Tetmeyer</author>
  </authors>
  <commentList>
    <comment ref="D2" authorId="0" shapeId="0" xr:uid="{E221E8F6-5FE5-4770-901D-3A1828CF7F74}">
      <text>
        <r>
          <rPr>
            <b/>
            <sz val="9"/>
            <color indexed="81"/>
            <rFont val="Tahoma"/>
            <family val="2"/>
          </rPr>
          <t>First four characters  of the rotor pole angle sensor model number [0 if blank]</t>
        </r>
      </text>
    </comment>
    <comment ref="D3" authorId="0" shapeId="0" xr:uid="{582FCB95-136D-405D-BBD2-A34241D44A55}">
      <text>
        <r>
          <rPr>
            <b/>
            <sz val="9"/>
            <color indexed="81"/>
            <rFont val="Tahoma"/>
            <family val="2"/>
          </rPr>
          <t>Enter next 4 characters of the rotor pole angle sensor model number. [0 if blank]</t>
        </r>
      </text>
    </comment>
    <comment ref="D4" authorId="0" shapeId="0" xr:uid="{FABE11D9-3576-44AF-ABF0-1C78E7B72BEE}">
      <text>
        <r>
          <rPr>
            <b/>
            <sz val="9"/>
            <color indexed="81"/>
            <rFont val="Tahoma"/>
            <family val="2"/>
          </rPr>
          <t>nter next 4 characters of the rotor pole angle sensor model number. [0 if blank]</t>
        </r>
      </text>
    </comment>
    <comment ref="D5" authorId="0" shapeId="0" xr:uid="{D28D8880-74C4-4852-B1F6-DDFB62C46D0D}">
      <text>
        <r>
          <rPr>
            <b/>
            <sz val="9"/>
            <color indexed="81"/>
            <rFont val="Tahoma"/>
            <family val="2"/>
          </rPr>
          <t>First four characters  of the rotor velocity sensor model number [0 if blank]</t>
        </r>
      </text>
    </comment>
    <comment ref="D6" authorId="0" shapeId="0" xr:uid="{F768A18A-D9D3-419E-BD6D-DE78130E212E}">
      <text>
        <r>
          <rPr>
            <b/>
            <sz val="9"/>
            <color indexed="81"/>
            <rFont val="Tahoma"/>
            <family val="2"/>
          </rPr>
          <t>Next four characters  of the rotor velocity sensor model number [0 if blank]</t>
        </r>
      </text>
    </comment>
    <comment ref="D7" authorId="0" shapeId="0" xr:uid="{C10C3295-E147-44D4-98AA-5D00F5DF41CA}">
      <text>
        <r>
          <rPr>
            <b/>
            <sz val="9"/>
            <color indexed="81"/>
            <rFont val="Tahoma"/>
            <family val="2"/>
          </rPr>
          <t>First four characters  of the rotor velocity sensor model number [0 if blank]</t>
        </r>
      </text>
    </comment>
    <comment ref="D8" authorId="0" shapeId="0" xr:uid="{6AB09691-53B0-43F1-A906-7F510E9AE5FA}">
      <text>
        <r>
          <rPr>
            <b/>
            <sz val="9"/>
            <color indexed="81"/>
            <rFont val="Tahoma"/>
            <family val="2"/>
          </rPr>
          <t>First four characters  of the rotor position sensor model number [0 if blank]</t>
        </r>
      </text>
    </comment>
    <comment ref="D9" authorId="0" shapeId="0" xr:uid="{A91F3D6B-3C7F-4103-A35A-33D891D1240C}">
      <text>
        <r>
          <rPr>
            <b/>
            <sz val="9"/>
            <color indexed="81"/>
            <rFont val="Tahoma"/>
            <family val="2"/>
          </rPr>
          <t>Next four characters  of the rotor position sensor model number [0 if blank]</t>
        </r>
      </text>
    </comment>
    <comment ref="D10" authorId="0" shapeId="0" xr:uid="{B11B589D-5696-4D17-B8F4-2FA2880931E9}">
      <text>
        <r>
          <rPr>
            <b/>
            <sz val="9"/>
            <color indexed="81"/>
            <rFont val="Tahoma"/>
            <family val="2"/>
          </rPr>
          <t>Next four characters  of the rotor position sensor model number [0 if blank]</t>
        </r>
      </text>
    </comment>
    <comment ref="D11" authorId="0" shapeId="0" xr:uid="{63F37082-D160-4D1F-8344-35D00F6A837F}">
      <text>
        <r>
          <rPr>
            <b/>
            <sz val="9"/>
            <color indexed="81"/>
            <rFont val="Tahoma"/>
            <family val="2"/>
          </rPr>
          <t xml:space="preserve">Default sensor used to measure rotor pole angle:
 1 = HALL_EFFECT_ROTOR_SENSOR       
 2 = QUADRATURE_ENCODER_ROTOR_SENSOR    
 3 = NO_ROTOR_SENSOR                        
 4 = MA_SERIES_ROTOR_SENSOR 
 5 = CAM_SERIES_ROTOR_SENSOR  </t>
        </r>
      </text>
    </comment>
    <comment ref="D12" authorId="0" shapeId="0" xr:uid="{30ACB78E-54D5-479C-842E-F66419D38379}">
      <text>
        <r>
          <rPr>
            <b/>
            <sz val="9"/>
            <color indexed="81"/>
            <rFont val="Tahoma"/>
            <family val="2"/>
          </rPr>
          <t xml:space="preserve">Default sensor used to measure rotor velocity:
 1 = HALL_EFFECT_ROTOR_SENSOR       
 2 = QUADRATURE_ENCODER_ROTOR_SENSOR    
 3 = NO_ROTOR_SENSOR                        
 4 = MA_SERIES_ROTOR_SENSOR 
 5 = CAM_SERIES_ROTOR_SENSOR  </t>
        </r>
      </text>
    </comment>
    <comment ref="D13" authorId="0" shapeId="0" xr:uid="{AC0CD514-1A04-4434-BB09-F454BCE2C53C}">
      <text>
        <r>
          <rPr>
            <b/>
            <sz val="9"/>
            <color indexed="81"/>
            <rFont val="Tahoma"/>
            <family val="2"/>
          </rPr>
          <t xml:space="preserve">Default sensor used to measure position:
 1 = HALL_EFFECT_ROTOR_SENSOR       
 2 = QUADRATURE_ENCODER_ROTOR_SENSOR    
 3 = NO_ROTOR_SENSOR                        
 4 = MA_SERIES_ROTOR_SENSOR 
 5 = CAM_SERIES_ROTOR_SENSOR  </t>
        </r>
      </text>
    </comment>
    <comment ref="D14" authorId="0" shapeId="0" xr:uid="{7C3F3793-25CB-42AF-BA64-79D56D23A5DA}">
      <text>
        <r>
          <rPr>
            <b/>
            <sz val="9"/>
            <color indexed="81"/>
            <rFont val="Tahoma"/>
            <family val="2"/>
          </rPr>
          <t>Default hall sensor configuration:
0 = Not Available
1 = Available</t>
        </r>
      </text>
    </comment>
    <comment ref="D15" authorId="0" shapeId="0" xr:uid="{4A2BCE14-2FFD-4AB2-86A7-5C0ADDC99EC8}">
      <text>
        <r>
          <rPr>
            <b/>
            <sz val="9"/>
            <color indexed="81"/>
            <rFont val="Tahoma"/>
            <family val="2"/>
          </rPr>
          <t>Default quadrature encoder sensor configuration:
0 = Not Available
1 = Available</t>
        </r>
      </text>
    </comment>
    <comment ref="D16" authorId="0" shapeId="0" xr:uid="{C031E291-6984-4FAD-ABCD-C1FFF86C82EB}">
      <text>
        <r>
          <rPr>
            <b/>
            <sz val="9"/>
            <color indexed="81"/>
            <rFont val="Tahoma"/>
            <family val="2"/>
          </rPr>
          <t>Default Mag Alpha magnetic encoder configuration:
0 = Not Available
1 = Available</t>
        </r>
      </text>
    </comment>
    <comment ref="D17" authorId="0" shapeId="0" xr:uid="{D2C462CC-ED98-480B-AA02-965BF95EAC15}">
      <text>
        <r>
          <rPr>
            <b/>
            <sz val="9"/>
            <color indexed="81"/>
            <rFont val="Tahoma"/>
            <family val="2"/>
          </rPr>
          <t>Default  Cambridge inductive sensor configuration:
0 = Not Available
1 = Available</t>
        </r>
      </text>
    </comment>
    <comment ref="D18" authorId="0" shapeId="0" xr:uid="{EF1EA846-6409-4C2A-B4A8-93D29A043396}">
      <text>
        <r>
          <rPr>
            <b/>
            <sz val="9"/>
            <color indexed="81"/>
            <rFont val="Tahoma"/>
            <family val="2"/>
          </rPr>
          <t xml:space="preserve">Default counts per revolution produced by one channel of quadrature encoder .
</t>
        </r>
      </text>
    </comment>
    <comment ref="D19" authorId="0" shapeId="0" xr:uid="{4AE5B657-DFC5-481E-B31C-ADA24B4560EB}">
      <text>
        <r>
          <rPr>
            <b/>
            <sz val="9"/>
            <color indexed="81"/>
            <rFont val="Tahoma"/>
            <family val="2"/>
          </rPr>
          <t>Default setting to swap qudrature encoder channels:
0 = Channels not swapped
1 = Channels swapped</t>
        </r>
      </text>
    </comment>
    <comment ref="D20" authorId="0" shapeId="0" xr:uid="{5DFA239A-6F0F-49BC-85D7-9C9CFF87AC8B}">
      <text>
        <r>
          <rPr>
            <b/>
            <sz val="9"/>
            <color indexed="81"/>
            <rFont val="Tahoma"/>
            <family val="2"/>
          </rPr>
          <t>Default setting to complement hall effect sensor signals:
0 = Hall effect sensor signals not complemented
1= 0 = Hall effect sensor signals complemented</t>
        </r>
      </text>
    </comment>
    <comment ref="D21" authorId="1" shapeId="0" xr:uid="{029C1E48-D229-4615-BF01-07C26F700ECE}">
      <text>
        <r>
          <rPr>
            <sz val="9"/>
            <color indexed="81"/>
            <rFont val="Tahoma"/>
            <family val="2"/>
          </rPr>
          <t xml:space="preserve">Default forced align mode delay tiime in units of milli-seconds.
</t>
        </r>
      </text>
    </comment>
    <comment ref="D22" authorId="1" shapeId="0" xr:uid="{E3F322D2-DC44-448C-9FC7-6703667EEF22}">
      <text>
        <r>
          <rPr>
            <sz val="9"/>
            <color indexed="81"/>
            <rFont val="Tahoma"/>
            <charset val="1"/>
          </rPr>
          <t>AR Series Encoder Available
    0 Not Available
    1 Available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 Benner</author>
    <author>Mike Tetmeyer</author>
  </authors>
  <commentList>
    <comment ref="D2" authorId="0" shapeId="0" xr:uid="{5499DDAB-7724-435A-A5AD-2F45D2DE58A8}">
      <text>
        <r>
          <rPr>
            <b/>
            <sz val="9"/>
            <color indexed="81"/>
            <rFont val="Tahoma"/>
            <family val="2"/>
          </rPr>
          <t>First four characters of drive model number</t>
        </r>
      </text>
    </comment>
    <comment ref="D3" authorId="0" shapeId="0" xr:uid="{8C509F9A-A043-4E54-9451-31173910A70E}">
      <text>
        <r>
          <rPr>
            <b/>
            <sz val="9"/>
            <color indexed="81"/>
            <rFont val="Tahoma"/>
            <family val="2"/>
          </rPr>
          <t>Next  four characters of drive model number</t>
        </r>
        <r>
          <rPr>
            <sz val="9"/>
            <color indexed="81"/>
            <rFont val="Tahoma"/>
            <family val="2"/>
          </rPr>
          <t xml:space="preserve"> 
</t>
        </r>
        <r>
          <rPr>
            <b/>
            <sz val="9"/>
            <color indexed="81"/>
            <rFont val="Tahoma"/>
            <family val="2"/>
          </rPr>
          <t>[0 if blank]</t>
        </r>
      </text>
    </comment>
    <comment ref="D4" authorId="0" shapeId="0" xr:uid="{B15DF5A0-1B19-4E07-967B-F17145BA1EAE}">
      <text>
        <r>
          <rPr>
            <sz val="9"/>
            <color indexed="81"/>
            <rFont val="Tahoma"/>
            <family val="2"/>
          </rPr>
          <t>Next  four characters of drive model number 
[0 if blank]</t>
        </r>
      </text>
    </comment>
    <comment ref="D5" authorId="0" shapeId="0" xr:uid="{2237F7F3-F046-4C42-874E-82363316FF07}">
      <text>
        <r>
          <rPr>
            <b/>
            <sz val="9"/>
            <color indexed="81"/>
            <rFont val="Tahoma"/>
            <family val="2"/>
          </rPr>
          <t>Enter the maximum number of phases</t>
        </r>
      </text>
    </comment>
    <comment ref="D6" authorId="0" shapeId="0" xr:uid="{01AC64C3-DAB4-490E-845E-869C90D9745F}">
      <text>
        <r>
          <rPr>
            <b/>
            <sz val="9"/>
            <color indexed="81"/>
            <rFont val="Tahoma"/>
            <family val="2"/>
          </rPr>
          <t>Enter the maximum voltage for motor</t>
        </r>
      </text>
    </comment>
    <comment ref="D7" authorId="0" shapeId="0" xr:uid="{1894A77C-AA71-466D-B9E1-0C5E64BEC8D4}">
      <text>
        <r>
          <rPr>
            <b/>
            <sz val="9"/>
            <color indexed="81"/>
            <rFont val="Tahoma"/>
            <family val="2"/>
          </rPr>
          <t>Enter the maximum rated peak current for the drive in miliamps</t>
        </r>
      </text>
    </comment>
    <comment ref="D8" authorId="0" shapeId="0" xr:uid="{E6F26AC9-0639-4635-AD21-79217D2154F7}">
      <text>
        <r>
          <rPr>
            <b/>
            <sz val="9"/>
            <color indexed="81"/>
            <rFont val="Tahoma"/>
            <family val="2"/>
          </rPr>
          <t>Enter the maximum rated continuous current for the drive model in milliamps</t>
        </r>
      </text>
    </comment>
    <comment ref="D9" authorId="0" shapeId="0" xr:uid="{99558BA0-FA40-444F-9B4C-B7EF72712E4D}">
      <text>
        <r>
          <rPr>
            <b/>
            <sz val="9"/>
            <color indexed="81"/>
            <rFont val="Tahoma"/>
            <family val="2"/>
          </rPr>
          <t>Default SSI communication configuration setting:
0 = SSI Communications Disabled
1 = SSI Communications Enabled</t>
        </r>
      </text>
    </comment>
    <comment ref="D10" authorId="1" shapeId="0" xr:uid="{1652937D-A79F-4CCF-B072-2766C335BBB6}">
      <text>
        <r>
          <rPr>
            <sz val="9"/>
            <color indexed="81"/>
            <rFont val="Tahoma"/>
            <family val="2"/>
          </rPr>
          <t xml:space="preserve">Default Motor Configuration Type:
0 =  PMAC_OPEN_LOOP_MOTOR_TYPE
1 =  PMAC_SENSORLESS_MOTOR_TYPE
2 = BLDC_SERVO_MOTOR_TYPE
3 = PMAC_SERVO_MOTOR_TYPE
4 =  BDC_OPEN_LOOP_MOTOR_TYPE
5 =  BDC_SERVO_MOTOR_TYPE
6 = STEPPER_OPEN_LOOP_MOTOR_TYPE
7 = STEPPER_STALL_DETECT_MOTOR_TYPE
8 = STEPPER_SERVO_MOTOR_TYPE
</t>
        </r>
      </text>
    </comment>
    <comment ref="D11" authorId="1" shapeId="0" xr:uid="{D392B057-32B4-4949-9DD2-36B6EF8EE8CF}">
      <text>
        <r>
          <rPr>
            <sz val="9"/>
            <color indexed="81"/>
            <rFont val="Tahoma"/>
            <family val="2"/>
          </rPr>
          <t xml:space="preserve">Activate encoder calibration. 
[Factory use only]
0 = disabled [most common]
1 = enabled
</t>
        </r>
      </text>
    </comment>
    <comment ref="D12" authorId="1" shapeId="0" xr:uid="{5BE4D418-974B-46FA-AF8F-E5982FC9BDCA}">
      <text>
        <r>
          <rPr>
            <sz val="9"/>
            <color indexed="81"/>
            <rFont val="Tahoma"/>
            <charset val="1"/>
          </rPr>
          <t xml:space="preserve">Default commutation mode for motor selected:
1 = [BLDC TRAPEZOIDAL]THREE_PHASE_BLOCK_COMMUTATION         
2 = [BLDC SINUSOIDAL] THREE_PHASE_SINE_COMMUTATION
3 = [STEPPER OPEN LOOP BIPOLAR ONLY] TWO_PHASE_BIPOLAR_COMMUTATION 
4 = [STEPPER SERVO SINUSOIDAL ]  TWO_PHASE_SINE_COMMUTATION   
5 = [STEPPER OPEN LOOP SINUSOIDAL/BIPOLR] TWO_PHASE_MIXED_COMMUTATION  
6 = [BRUSH MOTOR] ONE_PHASE_BIPOLAR_COMMUTATION  
 </t>
        </r>
      </text>
    </comment>
    <comment ref="D13" authorId="1" shapeId="0" xr:uid="{7B42CD1C-FBE3-4F8E-85C5-6BE37C085B90}">
      <text>
        <r>
          <rPr>
            <sz val="9"/>
            <color indexed="81"/>
            <rFont val="Tahoma"/>
            <charset val="1"/>
          </rPr>
          <t xml:space="preserve">Default regulation mode setting:
1 = SERVO_PID_REGULATION_MODE  
2 = OPEN_LOOP_REGULATION_MODE </t>
        </r>
      </text>
    </comment>
    <comment ref="D14" authorId="1" shapeId="0" xr:uid="{EED6225F-C167-469F-AD42-5D868E73131A}">
      <text>
        <r>
          <rPr>
            <sz val="9"/>
            <color indexed="81"/>
            <rFont val="Tahoma"/>
            <charset val="1"/>
          </rPr>
          <t>Default master source of input reference signals:
0 =  MOTION_PROFILE_REFERENCE_GENERATOR 
1 =  PDE_REFERENCE_GENERATOR  
2  = PWM_REFERENCE_GENERATOR
3 = LOGIC_SELECT_REFERENCE_GENERATOR
4 = FIXED_PRESET_GENERATOR
Potentially used to force all reference signals to a single source.</t>
        </r>
      </text>
    </comment>
    <comment ref="D15" authorId="1" shapeId="0" xr:uid="{C0D0B111-37F2-49C0-B288-FFA532B616F4}">
      <text>
        <r>
          <rPr>
            <sz val="9"/>
            <color indexed="81"/>
            <rFont val="Tahoma"/>
            <charset val="1"/>
          </rPr>
          <t>Default source of current reference command:
1 =  MOTION_PROFILE_REFERENCE_GENERATOR 
2 =  PDE_REFERENCE_GENERATOR  
3  = PWM_REFERENCE_GENERATOR
4 = LOGIC_SELECT_REFERENCE_GENERATOR
5 = Reserved
6 = FIXED_PRESET_GENERATOR</t>
        </r>
      </text>
    </comment>
    <comment ref="D16" authorId="1" shapeId="0" xr:uid="{49828C85-86A0-4A6D-A8A2-B6D234E1F646}">
      <text>
        <r>
          <rPr>
            <sz val="9"/>
            <color indexed="81"/>
            <rFont val="Tahoma"/>
            <charset val="1"/>
          </rPr>
          <t>Default source of velocity reference command:
1 =  MOTION_PROFILE_REFERENCE_GENERATOR 
2 =  PDE_REFERENCE_GENERATOR  
3  = PWM_REFERENCE_GENERATOR
4 = LOGIC_SELECT_REFERENCE_GENERATOR
5 = Reserved
6 = FIXED_PRESET_GENERATOR</t>
        </r>
      </text>
    </comment>
    <comment ref="D17" authorId="1" shapeId="0" xr:uid="{4272EE35-D157-442D-A5DC-494700E2D38D}">
      <text>
        <r>
          <rPr>
            <sz val="9"/>
            <color indexed="81"/>
            <rFont val="Tahoma"/>
            <charset val="1"/>
          </rPr>
          <t xml:space="preserve">Default source of position reference command:
1 =  MOTION_PROFILE_REFERENCE_GENERATOR 
2 =  PDE_REFERENCE_GENERATOR  
3  = PWM_REFERENCE_GENERATOR
4 = LOGIC_SELECT_REFERENCE_GENERATOR
5 = Reserved
6 = FIXED_PRESET_GENERATOR
</t>
        </r>
      </text>
    </comment>
    <comment ref="D18" authorId="1" shapeId="0" xr:uid="{1A81E0B7-152B-44D9-9747-5A1DA657C579}">
      <text>
        <r>
          <rPr>
            <sz val="9"/>
            <color indexed="81"/>
            <rFont val="Tahoma"/>
            <charset val="1"/>
          </rPr>
          <t xml:space="preserve">Default source of drive enable signal  command:
1 =  MOTION_PROFILE_REFERENCE_GENERATOR 
2 =  PDE_REFERENCE_GENERATOR  
3  = PWM_REFERENCE_GENERATOR
4 = LOGIC_SELECT_REFERENCE_GENERATOR
5 = Reserved
6 = FIXED_PRESET_GENERATOR
</t>
        </r>
      </text>
    </comment>
    <comment ref="D19" authorId="1" shapeId="0" xr:uid="{CF979424-D174-4048-9248-A2E80CEED0EA}">
      <text>
        <r>
          <rPr>
            <sz val="9"/>
            <color indexed="81"/>
            <rFont val="Tahoma"/>
            <charset val="1"/>
          </rPr>
          <t xml:space="preserve">Default source of rotor velocity limit setting:
1 =  MOTION_PROFILE_REFERENCE_GENERATOR 
2 =  PDE_REFERENCE_GENERATOR  
3  = PWM_REFERENCE_GENERATOR
4 = LOGIC_SELECT_REFERENCE_GENERATOR
5 = Reserved
6 = FIXED_PRESET_GENERATOR
</t>
        </r>
      </text>
    </comment>
    <comment ref="D20" authorId="1" shapeId="0" xr:uid="{9206CCBB-809E-4E47-91A0-05DD8CB348D7}">
      <text>
        <r>
          <rPr>
            <sz val="9"/>
            <color indexed="81"/>
            <rFont val="Tahoma"/>
            <charset val="1"/>
          </rPr>
          <t xml:space="preserve">Default source of current limit setting:
1 =  MOTION_PROFILE_REFERENCE_GENERATOR 
2 =  PDE_REFERENCE_GENERATOR  
3  = PWM_REFERENCE_GENERATOR
4 = LOGIC_SELECT_REFERENCE_GENERATOR
5 = Reserved
6 = FIXED_PRESET_GENERATOR
</t>
        </r>
      </text>
    </comment>
    <comment ref="D21" authorId="1" shapeId="0" xr:uid="{574355D2-9F49-4069-B0F0-73C00AAD4BDF}">
      <text>
        <r>
          <rPr>
            <sz val="9"/>
            <color indexed="81"/>
            <rFont val="Tahoma"/>
            <family val="2"/>
          </rPr>
          <t xml:space="preserve">Default source of current reference command:
1 =  MOTION_PROFILE_REFERENCE_GENERATOR 
2 =  PDE_REFERENCE_GENERATOR  
3  = PWM_REFERENCE_GENERATOR
4 = LOGIC_SELECT_REFERENCE_GENERATOR
5 = Reserved
6 = FIXED_PRESET_GENERATOR
</t>
        </r>
      </text>
    </comment>
    <comment ref="D22" authorId="1" shapeId="0" xr:uid="{B71B5D3F-7674-4671-BDF7-47E45CB07A79}">
      <text>
        <r>
          <rPr>
            <sz val="9"/>
            <color indexed="81"/>
            <rFont val="Tahoma"/>
            <family val="2"/>
          </rPr>
          <t xml:space="preserve">Default reference command type:
1 =  POSITION_COMMAND  //generate position reference
2 = VELOCITY_COMMAND  // generate velocity reference
3 = CURRENT_COMMAND    // generate current reference
4 = VOLTAGE_COMMAND   // generate motor phase voltage reference
</t>
        </r>
      </text>
    </comment>
    <comment ref="D23" authorId="0" shapeId="0" xr:uid="{C46375EC-754C-415B-8414-15471DB613D1}">
      <text>
        <r>
          <rPr>
            <b/>
            <sz val="9"/>
            <color indexed="81"/>
            <rFont val="Tahoma"/>
            <family val="2"/>
          </rPr>
          <t>Motor target velocity in RPM at power up if FIXED_PRESET_GENERATOR is selected as source of Rotor Velocity Reference .</t>
        </r>
      </text>
    </comment>
    <comment ref="D24" authorId="1" shapeId="0" xr:uid="{8AC21A20-9AD0-4A76-BF50-A997CFD553BD}">
      <text>
        <r>
          <rPr>
            <sz val="9"/>
            <color indexed="81"/>
            <rFont val="Tahoma"/>
            <charset val="1"/>
          </rPr>
          <t>Motor target current reference in mA at power up if FIXED_PRESET_GENERATOR is selected as  source of Current Reference.
Also used as current reference setting for forced aligned rotor position mode at power up. Forced align mode is used to capture absolute rotor position for quadrature encoder when hall sensors are not available.
Forced align mode energizes motor coils in a known position at the current level specified.</t>
        </r>
      </text>
    </comment>
    <comment ref="D25" authorId="0" shapeId="0" xr:uid="{4C3BEECC-D9F1-461D-AE43-59692AF6688B}">
      <text>
        <r>
          <rPr>
            <b/>
            <sz val="9"/>
            <color indexed="81"/>
            <rFont val="Tahoma"/>
            <family val="2"/>
          </rPr>
          <t>Default  minimum rotor velocity limit  in revolutions per minute</t>
        </r>
      </text>
    </comment>
    <comment ref="D26" authorId="0" shapeId="0" xr:uid="{59D5221F-EB91-4737-ABFC-A15894C0073B}">
      <text>
        <r>
          <rPr>
            <b/>
            <sz val="9"/>
            <color indexed="81"/>
            <rFont val="Tahoma"/>
            <family val="2"/>
          </rPr>
          <t>Default maximum  rotor velocity limit  in revolutions per minute</t>
        </r>
        <r>
          <rPr>
            <sz val="9"/>
            <color indexed="81"/>
            <rFont val="Tahoma"/>
            <family val="2"/>
          </rPr>
          <t xml:space="preserve">
</t>
        </r>
      </text>
    </comment>
    <comment ref="D27" authorId="0" shapeId="0" xr:uid="{73B0747B-562B-4CE1-84F6-647B58F2545B}">
      <text>
        <r>
          <rPr>
            <b/>
            <sz val="9"/>
            <color indexed="81"/>
            <rFont val="Tahoma"/>
            <family val="2"/>
          </rPr>
          <t>Default minimum current limit setting in milliamps</t>
        </r>
      </text>
    </comment>
    <comment ref="D28" authorId="0" shapeId="0" xr:uid="{A90F0204-A677-48B2-BDE1-5261F1986CCF}">
      <text>
        <r>
          <rPr>
            <b/>
            <sz val="9"/>
            <color indexed="81"/>
            <rFont val="Tahoma"/>
            <family val="2"/>
          </rPr>
          <t>Default maximum current limit setting in milliamps</t>
        </r>
      </text>
    </comment>
    <comment ref="D29" authorId="1" shapeId="0" xr:uid="{467153E7-84C2-49FD-8FFD-5CA354F509BC}">
      <text>
        <r>
          <rPr>
            <sz val="9"/>
            <color indexed="81"/>
            <rFont val="Tahoma"/>
            <family val="2"/>
          </rPr>
          <t xml:space="preserve">Default velocity motion profile shape:
0 = Trapezoidal motion profile shape
1 = S-Curve motion profile shape
</t>
        </r>
      </text>
    </comment>
    <comment ref="D30" authorId="1" shapeId="0" xr:uid="{35DF9626-12DA-4AE8-8B09-F52C241CC9D1}">
      <text>
        <r>
          <rPr>
            <sz val="9"/>
            <color indexed="81"/>
            <rFont val="Tahoma"/>
            <charset val="1"/>
          </rPr>
          <t xml:space="preserve">Drive enable setting at power up if FIXED_PRESET_GENERATOR is selceted as the reference source of Enable Signal.
Also used to enable/disable forced align mode if hall sensors not available. 
0 = Disabled
1 = Enabled
</t>
        </r>
      </text>
    </comment>
    <comment ref="D31" authorId="0" shapeId="0" xr:uid="{ADA6EBF0-05E0-45D8-A9A9-905EDB2955F0}">
      <text>
        <r>
          <rPr>
            <b/>
            <sz val="9"/>
            <color indexed="81"/>
            <rFont val="Tahoma"/>
            <family val="2"/>
          </rPr>
          <t xml:space="preserve">
Default current loop gain setting:
0 = Low current loop gain
1 = High current loop gain</t>
        </r>
      </text>
    </comment>
    <comment ref="D32" authorId="0" shapeId="0" xr:uid="{D5265419-49DD-4938-AC34-98628E8B2D55}">
      <text>
        <r>
          <rPr>
            <b/>
            <sz val="9"/>
            <color indexed="81"/>
            <rFont val="Tahoma"/>
            <family val="2"/>
          </rPr>
          <t>Default proportional gain constant for the velocity PID regulator</t>
        </r>
      </text>
    </comment>
    <comment ref="D33" authorId="0" shapeId="0" xr:uid="{E154EBD0-77D7-46E7-94AE-7A665734FE6B}">
      <text>
        <r>
          <rPr>
            <sz val="9"/>
            <color indexed="81"/>
            <rFont val="Tahoma"/>
            <family val="2"/>
          </rPr>
          <t xml:space="preserve">Default  integral gain constant for the velocity PID regulator
</t>
        </r>
      </text>
    </comment>
    <comment ref="D34" authorId="0" shapeId="0" xr:uid="{F4F8F517-779E-4C5F-88FB-68E2B5004A7B}">
      <text>
        <r>
          <rPr>
            <b/>
            <sz val="9"/>
            <color indexed="81"/>
            <rFont val="Tahoma"/>
            <family val="2"/>
          </rPr>
          <t>Default  derivative gain constant for the velocity PID regulator</t>
        </r>
      </text>
    </comment>
    <comment ref="D35" authorId="0" shapeId="0" xr:uid="{9F6A7826-B206-4C9D-BC6D-4DE2521B835C}">
      <text>
        <r>
          <rPr>
            <b/>
            <sz val="9"/>
            <color indexed="81"/>
            <rFont val="Tahoma"/>
            <family val="2"/>
          </rPr>
          <t>Default feed forward gain constant for the velocity PID regulator</t>
        </r>
      </text>
    </comment>
    <comment ref="D36" authorId="0" shapeId="0" xr:uid="{583570D5-2BBA-420D-9C2C-9AD29C30CE3A}">
      <text>
        <r>
          <rPr>
            <b/>
            <sz val="9"/>
            <color indexed="81"/>
            <rFont val="Tahoma"/>
            <family val="2"/>
          </rPr>
          <t>Default velocity PID regulators maximum current limit in mA</t>
        </r>
      </text>
    </comment>
    <comment ref="D37" authorId="0" shapeId="0" xr:uid="{47152BD7-A890-484B-B8BA-80C4B84322C1}">
      <text>
        <r>
          <rPr>
            <b/>
            <sz val="9"/>
            <color indexed="81"/>
            <rFont val="Tahoma"/>
            <family val="2"/>
          </rPr>
          <t>Default velocity PID regulator minimum current limit in mA</t>
        </r>
      </text>
    </comment>
    <comment ref="D38" authorId="0" shapeId="0" xr:uid="{40D95E2C-5860-41B7-85C3-0D00EE2B1350}">
      <text>
        <r>
          <rPr>
            <sz val="9"/>
            <color indexed="81"/>
            <rFont val="Tahoma"/>
            <family val="2"/>
          </rPr>
          <t xml:space="preserve">Default  proportional gain constant for the position PID regulator
</t>
        </r>
      </text>
    </comment>
    <comment ref="D39" authorId="0" shapeId="0" xr:uid="{9D2A742F-1071-4330-829E-5F4BFBCBCBD7}">
      <text>
        <r>
          <rPr>
            <b/>
            <sz val="9"/>
            <color indexed="81"/>
            <rFont val="Tahoma"/>
            <family val="2"/>
          </rPr>
          <t>Deafult integral gain constant for the position PID regulator</t>
        </r>
      </text>
    </comment>
    <comment ref="D40" authorId="0" shapeId="0" xr:uid="{208DA7EA-A75C-4E4D-B4D9-4A63F67299DE}">
      <text>
        <r>
          <rPr>
            <b/>
            <sz val="9"/>
            <color indexed="81"/>
            <rFont val="Tahoma"/>
            <family val="2"/>
          </rPr>
          <t>Default feed forward gain constant for the velocity PID regulator</t>
        </r>
      </text>
    </comment>
    <comment ref="D41" authorId="0" shapeId="0" xr:uid="{EECA0C8F-DE3C-41B5-B91E-85CE434973B2}">
      <text>
        <r>
          <rPr>
            <sz val="9"/>
            <color indexed="81"/>
            <rFont val="Tahoma"/>
            <family val="2"/>
          </rPr>
          <t xml:space="preserve">Default feed forward gain constant for the position PID regulator
</t>
        </r>
      </text>
    </comment>
    <comment ref="D42" authorId="0" shapeId="0" xr:uid="{100A425A-9575-4443-9B4A-1733749F6732}">
      <text>
        <r>
          <rPr>
            <sz val="9"/>
            <color indexed="81"/>
            <rFont val="Tahoma"/>
            <family val="2"/>
          </rPr>
          <t xml:space="preserve">Defaut position PID regulators maximum velocity  limit in RPM
</t>
        </r>
      </text>
    </comment>
    <comment ref="D43" authorId="0" shapeId="0" xr:uid="{8F3A6C60-A2C9-489B-AA75-1E36F2DA5985}">
      <text>
        <r>
          <rPr>
            <sz val="9"/>
            <color indexed="81"/>
            <rFont val="Tahoma"/>
            <family val="2"/>
          </rPr>
          <t xml:space="preserve">Default Position PID regulators minimum velocity limit in RPM
</t>
        </r>
      </text>
    </comment>
    <comment ref="D44" authorId="1" shapeId="0" xr:uid="{B850CB21-69F5-430F-84C1-54BAD3C5AF3A}">
      <text>
        <r>
          <rPr>
            <sz val="9"/>
            <color indexed="81"/>
            <rFont val="Tahoma"/>
            <family val="2"/>
          </rPr>
          <t xml:space="preserve">Default Position 1 Interrupt Enabled Setting:
0 = Position interrupt disabled
1 = Position interrupt enabled
</t>
        </r>
      </text>
    </comment>
    <comment ref="D45" authorId="1" shapeId="0" xr:uid="{95389D09-B285-4FD9-9217-552D3B50A753}">
      <text>
        <r>
          <rPr>
            <b/>
            <sz val="9"/>
            <color indexed="81"/>
            <rFont val="Tahoma"/>
            <charset val="1"/>
          </rPr>
          <t>Default position 1 trip value in units of  milli -revolutions.</t>
        </r>
        <r>
          <rPr>
            <sz val="9"/>
            <color indexed="81"/>
            <rFont val="Tahoma"/>
            <charset val="1"/>
          </rPr>
          <t xml:space="preserve">
</t>
        </r>
      </text>
    </comment>
    <comment ref="D46" authorId="1" shapeId="0" xr:uid="{78D73CC8-84F3-4233-A576-8B4F0BBBC01C}">
      <text>
        <r>
          <rPr>
            <sz val="9"/>
            <color indexed="81"/>
            <rFont val="Tahoma"/>
            <charset val="1"/>
          </rPr>
          <t xml:space="preserve">Default Position 2 Interrupt Enabled Setting:
0 = Position interrupt disabled
1 = Position interrupt enabled
</t>
        </r>
      </text>
    </comment>
    <comment ref="D47" authorId="1" shapeId="0" xr:uid="{24C2EA9C-653C-4020-8780-5C2531A4F6B5}">
      <text>
        <r>
          <rPr>
            <sz val="9"/>
            <color indexed="81"/>
            <rFont val="Tahoma"/>
            <family val="2"/>
          </rPr>
          <t xml:space="preserve">Default position 2 trip value in units of  milli -revolutions.
</t>
        </r>
      </text>
    </comment>
    <comment ref="D48" authorId="1" shapeId="0" xr:uid="{8715D2E2-9034-4558-B9DC-0E6E4E09F648}">
      <text>
        <r>
          <rPr>
            <sz val="9"/>
            <color indexed="81"/>
            <rFont val="Tahoma"/>
            <family val="2"/>
          </rPr>
          <t xml:space="preserve">Default Position Error Interrupt Enabled Setting:
0 = Position error nterrupt disabled
1 = Position error interrupt enabled
</t>
        </r>
      </text>
    </comment>
    <comment ref="D49" authorId="1" shapeId="0" xr:uid="{F3F0B3AF-37FC-4D54-ABEE-90820279E78A}">
      <text>
        <r>
          <rPr>
            <sz val="9"/>
            <color indexed="81"/>
            <rFont val="Tahoma"/>
            <family val="2"/>
          </rPr>
          <t xml:space="preserve">Default position error trip value in units of  milli -revolutions
</t>
        </r>
      </text>
    </comment>
    <comment ref="D50" authorId="1" shapeId="0" xr:uid="{C2E85F2F-AE2B-4D52-8777-1C57BE85AE68}">
      <text>
        <r>
          <rPr>
            <sz val="9"/>
            <color indexed="81"/>
            <rFont val="Tahoma"/>
            <family val="2"/>
          </rPr>
          <t xml:space="preserve">Default Current limit Duration Interrupt Enabled Setting:
0 = Current limit duration interrupt disabled
1 = Current limit duration enabled
</t>
        </r>
      </text>
    </comment>
    <comment ref="D51" authorId="1" shapeId="0" xr:uid="{F3C09BBA-97AE-4043-B6BC-20A4D235FAF1}">
      <text>
        <r>
          <rPr>
            <sz val="9"/>
            <color indexed="81"/>
            <rFont val="Tahoma"/>
            <family val="2"/>
          </rPr>
          <t xml:space="preserve">Default trip current limit durationr value in units of  milli -seconds
</t>
        </r>
      </text>
    </comment>
    <comment ref="D59" authorId="1" shapeId="0" xr:uid="{058F942B-4F78-4CE7-A371-654C10E1DCA0}">
      <text>
        <r>
          <rPr>
            <sz val="9"/>
            <color indexed="81"/>
            <rFont val="Tahoma"/>
            <charset val="1"/>
          </rPr>
          <t>Default source of velocity reference command:
1 =  MOTION_PROFILE_REFERENCE_GENERATOR 
2 =  PDE_REFERENCE_GENERATOR  
3  = PWM_REFERENCE_GENERATOR
4 = LOGIC_SELECT_REFERENCE_GENERATOR
5 = Reserved
6 = FIXED_PRESET_GENERATOR</t>
        </r>
      </text>
    </comment>
    <comment ref="D60" authorId="1" shapeId="0" xr:uid="{9212322F-B1E1-4038-ADEE-627210AB93E3}">
      <text>
        <r>
          <rPr>
            <sz val="9"/>
            <color indexed="81"/>
            <rFont val="Tahoma"/>
            <charset val="1"/>
          </rPr>
          <t>Motor target voltage reference in mV  at power up if FIXED_PRESET_GENERATOR is selected as  source of Voltage Reference.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Shane Benner</author>
  </authors>
  <commentList>
    <comment ref="D2" authorId="0" shapeId="0" xr:uid="{9C65A010-4EF1-4EE0-ADD7-C2AA6728B367}">
      <text>
        <r>
          <rPr>
            <b/>
            <sz val="9"/>
            <color indexed="81"/>
            <rFont val="Tahoma"/>
            <family val="2"/>
          </rPr>
          <t>Enter the first part of the lead model number</t>
        </r>
      </text>
    </comment>
    <comment ref="D3" authorId="0" shapeId="0" xr:uid="{3B97A02E-7866-486E-BB2D-10DF239F5ED4}">
      <text>
        <r>
          <rPr>
            <b/>
            <sz val="9"/>
            <color indexed="81"/>
            <rFont val="Tahoma"/>
            <family val="2"/>
          </rPr>
          <t>Enter the second part of the lead model number</t>
        </r>
      </text>
    </comment>
    <comment ref="D4" authorId="0" shapeId="0" xr:uid="{236CD337-CA15-494D-8CA0-1CB061A4E862}">
      <text>
        <r>
          <rPr>
            <b/>
            <sz val="9"/>
            <color indexed="81"/>
            <rFont val="Tahoma"/>
            <family val="2"/>
          </rPr>
          <t>Enter the third part od the lead model number</t>
        </r>
      </text>
    </comment>
    <comment ref="D6" authorId="0" shapeId="0" xr:uid="{E47DAC37-BD34-4C28-A78D-D8878EFBC08C}">
      <text>
        <r>
          <rPr>
            <b/>
            <sz val="9"/>
            <color indexed="81"/>
            <rFont val="Tahoma"/>
            <family val="2"/>
          </rPr>
          <t>Enter the lead max velocity in revolutions per minute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Shane Benner</author>
  </authors>
  <commentList>
    <comment ref="D2" authorId="0" shapeId="0" xr:uid="{31950687-ABB3-4E02-9398-76CBD63ABAD4}">
      <text>
        <r>
          <rPr>
            <b/>
            <sz val="9"/>
            <color indexed="81"/>
            <rFont val="Tahoma"/>
            <family val="2"/>
          </rPr>
          <t>Enter the first part of the gearbox model number</t>
        </r>
      </text>
    </comment>
    <comment ref="D3" authorId="0" shapeId="0" xr:uid="{6B371ACC-4289-4449-8C45-35506D0C5783}">
      <text>
        <r>
          <rPr>
            <b/>
            <sz val="9"/>
            <color indexed="81"/>
            <rFont val="Tahoma"/>
            <family val="2"/>
          </rPr>
          <t>Enter the second part of the gear box model number</t>
        </r>
      </text>
    </comment>
    <comment ref="D4" authorId="0" shapeId="0" xr:uid="{0F4B7659-C263-4618-98E0-4EDA8781CCEC}">
      <text>
        <r>
          <rPr>
            <b/>
            <sz val="9"/>
            <color indexed="81"/>
            <rFont val="Tahoma"/>
            <family val="2"/>
          </rPr>
          <t>Enter the third part of the gear box model number</t>
        </r>
      </text>
    </comment>
    <comment ref="D6" authorId="0" shapeId="0" xr:uid="{21F690BE-7E4E-41F0-B5DA-5D5AA9F7F68A}">
      <text>
        <r>
          <rPr>
            <b/>
            <sz val="9"/>
            <color indexed="81"/>
            <rFont val="Tahoma"/>
            <family val="2"/>
          </rPr>
          <t>Enter the max velocity for the gearbox in revolutions per minute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Shane Benner</author>
  </authors>
  <commentList>
    <comment ref="D2" authorId="0" shapeId="0" xr:uid="{00000000-0006-0000-0600-000001000000}">
      <text>
        <r>
          <rPr>
            <b/>
            <sz val="9"/>
            <color indexed="81"/>
            <rFont val="Tahoma"/>
            <family val="2"/>
          </rPr>
          <t>Enter the first part of the brake model number</t>
        </r>
      </text>
    </comment>
    <comment ref="D3" authorId="0" shapeId="0" xr:uid="{00000000-0006-0000-0600-000002000000}">
      <text>
        <r>
          <rPr>
            <b/>
            <sz val="9"/>
            <color indexed="81"/>
            <rFont val="Tahoma"/>
            <family val="2"/>
          </rPr>
          <t>Enter the second part of the brake model number</t>
        </r>
      </text>
    </comment>
    <comment ref="D4" authorId="0" shapeId="0" xr:uid="{00000000-0006-0000-0600-000003000000}">
      <text>
        <r>
          <rPr>
            <b/>
            <sz val="9"/>
            <color indexed="81"/>
            <rFont val="Tahoma"/>
            <family val="2"/>
          </rPr>
          <t>Enter the third part of the brake model number</t>
        </r>
      </text>
    </comment>
    <comment ref="D5" authorId="0" shapeId="0" xr:uid="{00000000-0006-0000-0600-000004000000}">
      <text>
        <r>
          <rPr>
            <b/>
            <sz val="9"/>
            <color indexed="81"/>
            <rFont val="Tahoma"/>
            <family val="2"/>
          </rPr>
          <t>Enter the the type of brake</t>
        </r>
      </text>
    </comment>
    <comment ref="D6" authorId="0" shapeId="0" xr:uid="{00000000-0006-0000-0600-000005000000}">
      <text>
        <r>
          <rPr>
            <b/>
            <sz val="9"/>
            <color indexed="81"/>
            <rFont val="Tahoma"/>
            <family val="2"/>
          </rPr>
          <t xml:space="preserve">Enter the brake current
</t>
        </r>
      </text>
    </comment>
    <comment ref="C22" authorId="0" shapeId="0" xr:uid="{00000000-0006-0000-0600-000006000000}">
      <text>
        <r>
          <rPr>
            <b/>
            <sz val="9"/>
            <color indexed="81"/>
            <rFont val="Tahoma"/>
            <family val="2"/>
          </rPr>
          <t>Shane Benner:</t>
        </r>
        <r>
          <rPr>
            <sz val="9"/>
            <color indexed="81"/>
            <rFont val="Tahoma"/>
            <family val="2"/>
          </rPr>
          <t xml:space="preserve">
</t>
        </r>
      </text>
    </comment>
  </commentList>
</comments>
</file>

<file path=xl/sharedStrings.xml><?xml version="1.0" encoding="utf-8"?>
<sst xmlns="http://schemas.openxmlformats.org/spreadsheetml/2006/main" count="733" uniqueCount="207">
  <si>
    <t>Min Value</t>
  </si>
  <si>
    <t>Max Value</t>
  </si>
  <si>
    <t>DEFAULT_enRotorPoleAngleSensorSelect</t>
  </si>
  <si>
    <t>DEFAULT_enRotorVelocitySensorSelect</t>
  </si>
  <si>
    <t>DEFAULT_enRotorPositionSensorSelect</t>
  </si>
  <si>
    <t>DEFAULT_isHallEffectSensorAvailable</t>
  </si>
  <si>
    <t>DEFAULT_isQuadratureEncoderAvailable</t>
  </si>
  <si>
    <t>DEFAULT_MotorPoles</t>
  </si>
  <si>
    <t xml:space="preserve"> DEFAULT_InputReferenceSource</t>
  </si>
  <si>
    <t xml:space="preserve"> DEFAULT_enCurrentReferenceSelect</t>
  </si>
  <si>
    <t xml:space="preserve"> DEFAULT_enRotorVelocityReferenceSelect</t>
  </si>
  <si>
    <t xml:space="preserve"> DEFAULT_enRotorPositionReferenceSelect</t>
  </si>
  <si>
    <t xml:space="preserve"> DEFAULT_enEnableSelect</t>
  </si>
  <si>
    <t xml:space="preserve"> DEFAULT_enRotorVelocityLimitSelect</t>
  </si>
  <si>
    <t xml:space="preserve"> DEFAULT_enCurrentLimitSelect</t>
  </si>
  <si>
    <t xml:space="preserve"> DEFAULT_fFixedCurrentReferencemA</t>
  </si>
  <si>
    <t xml:space="preserve"> DEFAULT_fMinCurrentLimitmA</t>
  </si>
  <si>
    <t xml:space="preserve"> DEFAULT_fMaxCurrentLimitmA</t>
  </si>
  <si>
    <t xml:space="preserve"> DEFAULT_isEnabledExt</t>
  </si>
  <si>
    <t xml:space="preserve"> DEFAULT_enCommutationModeSelect</t>
  </si>
  <si>
    <t xml:space="preserve"> DEFAULT_isHighCurrentLoopGain</t>
  </si>
  <si>
    <t xml:space="preserve"> DEFAULT_enRegulationModeSelect</t>
  </si>
  <si>
    <t xml:space="preserve"> DEFAULT_VelocityPIDRegulatorProportionalGain</t>
  </si>
  <si>
    <t xml:space="preserve"> DEFAULT_VelocityPIDRegulatorIntegralGain</t>
  </si>
  <si>
    <t xml:space="preserve"> DEFAULT_VelocityPIDRegulatorDerivativeGain</t>
  </si>
  <si>
    <t xml:space="preserve"> DEFAULT_VelocityPIDRegulatorFeedForwardGain</t>
  </si>
  <si>
    <t xml:space="preserve"> DEFAULT_PositionPIDRegulatorProportionalGain</t>
  </si>
  <si>
    <t xml:space="preserve"> DEFAULT_PositionPIDRegulatorIntegralGain</t>
  </si>
  <si>
    <t xml:space="preserve"> DEFAULT_PositionPIDRegulatorDerivativeGain</t>
  </si>
  <si>
    <t xml:space="preserve"> DEFAULT_PositionPIDRegulatorFeedForwardGain</t>
  </si>
  <si>
    <t xml:space="preserve"> DEFAULT_isSCurveProfile</t>
  </si>
  <si>
    <t xml:space="preserve"> DEFAULT_isPositionErrorInterruptEnabled</t>
  </si>
  <si>
    <t xml:space="preserve"> DEFAULT_isIlimitDurationInterruptEnabled</t>
  </si>
  <si>
    <t xml:space="preserve"> DEFAULT_WriteEnable</t>
  </si>
  <si>
    <t xml:space="preserve"> DEFAULT_UserNodeID</t>
  </si>
  <si>
    <t xml:space="preserve"> DEFAULT_UserBaudRate</t>
  </si>
  <si>
    <t xml:space="preserve"> DEFAULT_AutoOperationalMode</t>
  </si>
  <si>
    <t xml:space="preserve"> DEFAULT_BootupMessage</t>
  </si>
  <si>
    <t xml:space="preserve"> DEFAULT_SSI</t>
  </si>
  <si>
    <t>DEFAULT_isComplementHallSignals</t>
  </si>
  <si>
    <t>DEFAULT_isCAMSeriesSensorAvailable</t>
  </si>
  <si>
    <t>DEFAULT_isMASeriesSensorAvailable</t>
  </si>
  <si>
    <t>Drive Parameters</t>
  </si>
  <si>
    <t>Motor Parameters</t>
  </si>
  <si>
    <t>Rotor Sensor Parameters</t>
  </si>
  <si>
    <t>Lead Screw Parameters</t>
  </si>
  <si>
    <t>Gear Box Parameters</t>
  </si>
  <si>
    <t>Brake Parameters</t>
  </si>
  <si>
    <t>Enum</t>
  </si>
  <si>
    <t>Int</t>
  </si>
  <si>
    <t>Bool</t>
  </si>
  <si>
    <t>Variable Type</t>
  </si>
  <si>
    <t>Unsigned Char</t>
  </si>
  <si>
    <t>DEFAULT_ForcedAlignDelayTimemS</t>
  </si>
  <si>
    <t xml:space="preserve"> DEFAULT_fFixedRotorVelocityRPM</t>
  </si>
  <si>
    <t xml:space="preserve"> DEFAULT_fMinRotorVelocityLimitRPM</t>
  </si>
  <si>
    <t xml:space="preserve"> DEFAULT_fMaxRotorVelocityLimitRPM</t>
  </si>
  <si>
    <t xml:space="preserve"> DEFAULT_TripPositionAbsErrormRev</t>
  </si>
  <si>
    <t xml:space="preserve"> DEFAULT_TripILimitDurationmSec</t>
  </si>
  <si>
    <t xml:space="preserve"> DEFAULT_PositionErrorDeadbandmRev</t>
  </si>
  <si>
    <t xml:space="preserve"> DEFAULT_PositionPIDRegulatorMaxLimitRPM</t>
  </si>
  <si>
    <t xml:space="preserve"> DEFAULT_PositionPIDRegulatorMinLimitRPM</t>
  </si>
  <si>
    <t>DEFAULT_LeadMaxVelocityRPM</t>
  </si>
  <si>
    <t>DEFAULT_LeadPitchmRevPerInch</t>
  </si>
  <si>
    <t>DEFAULT_GearRatiomRevPerRev</t>
  </si>
  <si>
    <t>DEFAULT_GearBoxMaxVelocityRPM</t>
  </si>
  <si>
    <t>Parameter Name</t>
  </si>
  <si>
    <t>Block Size</t>
  </si>
  <si>
    <t xml:space="preserve"> DEFAULT_FieldBusType</t>
  </si>
  <si>
    <t>DEFAULT_isSwapQuadratureEncoderChannels</t>
  </si>
  <si>
    <t>DEFAULT_QuadratureEncoderCountsPerRev</t>
  </si>
  <si>
    <t>Drive Ratings / Features</t>
  </si>
  <si>
    <t>Regulation Paramaters</t>
  </si>
  <si>
    <t>Reference Parameters</t>
  </si>
  <si>
    <t>Failsafe Parameters</t>
  </si>
  <si>
    <t>Fieldbus Parameters</t>
  </si>
  <si>
    <t xml:space="preserve"> DEFAULT_DriveModelNumber2</t>
  </si>
  <si>
    <t>Char (Packed)</t>
  </si>
  <si>
    <t>DEFAULT_MotorModelNumber1</t>
  </si>
  <si>
    <t>DEFAULT_MotorModelNumber2</t>
  </si>
  <si>
    <t>Drive Model</t>
  </si>
  <si>
    <t xml:space="preserve"> DEFAULT_isPosition1InterruptEnabled</t>
  </si>
  <si>
    <t xml:space="preserve"> DEFAULT_TripPosition1RelativemRev</t>
  </si>
  <si>
    <t xml:space="preserve"> DEFAULT_isPosition2InterruptEnabled</t>
  </si>
  <si>
    <t xml:space="preserve"> DEFAULT_TripPosition2RelativemRev</t>
  </si>
  <si>
    <t>DEFAULT_LeadModelNumber1</t>
  </si>
  <si>
    <t>DEFAULT_LeadModelNumber2</t>
  </si>
  <si>
    <t>DEFAULT_LeadModelNumber3</t>
  </si>
  <si>
    <t>DEFAULT_GearBoxModelNumber1</t>
  </si>
  <si>
    <t>DEFAULT_GearBoxModelNumber2</t>
  </si>
  <si>
    <t>DEFAULT_GearBoxModelNumber3</t>
  </si>
  <si>
    <t>INT32</t>
  </si>
  <si>
    <t>Value</t>
  </si>
  <si>
    <t>DEFAULT_BrakeModelNumber1</t>
  </si>
  <si>
    <t>DEFAULT_BrakeModelNumber2</t>
  </si>
  <si>
    <t>DEFAULT_BrakeModelNumber3</t>
  </si>
  <si>
    <t>DEFAULT_BrakeType</t>
  </si>
  <si>
    <t>DEFAULT_BrakeCurrent</t>
  </si>
  <si>
    <t>Notes</t>
  </si>
  <si>
    <t>Class Category</t>
  </si>
  <si>
    <t>Block Address</t>
  </si>
  <si>
    <t xml:space="preserve"> Base Address</t>
  </si>
  <si>
    <t>End Address</t>
  </si>
  <si>
    <t>Flash Address</t>
  </si>
  <si>
    <t xml:space="preserve"> DEFAULT_ParameterSetRevisionNumber
</t>
  </si>
  <si>
    <t>Byte</t>
  </si>
  <si>
    <t>Word</t>
  </si>
  <si>
    <t>Decimal</t>
  </si>
  <si>
    <t>Hex</t>
  </si>
  <si>
    <t>MSB</t>
  </si>
  <si>
    <t>LSB</t>
  </si>
  <si>
    <t>Partition Value 4 Bytes</t>
  </si>
  <si>
    <t>Hex Bytes</t>
  </si>
  <si>
    <t xml:space="preserve">Binary Bytes (Char) </t>
  </si>
  <si>
    <t>N/A</t>
  </si>
  <si>
    <t>DEFAULT_RESERVED_DRIVE</t>
  </si>
  <si>
    <t>DEFAULT_MotorModelNumber3</t>
  </si>
  <si>
    <t>DEFAULT_MotorModelNumber4</t>
  </si>
  <si>
    <t>DEFAULT_RESERVED_MOTOR</t>
  </si>
  <si>
    <t>DEFAULT_RESERVED_SENSOR</t>
  </si>
  <si>
    <t>DEFAULT_RESERVED_LEAD</t>
  </si>
  <si>
    <t>DEFAULT_RESERVED_GEARBOX</t>
  </si>
  <si>
    <t>DEFAULT_RESERVED_BRAKE</t>
  </si>
  <si>
    <t>Configured Model</t>
  </si>
  <si>
    <t>DEFAULT_RESERVED_MODEL</t>
  </si>
  <si>
    <t xml:space="preserve"> DEFAULT_DriveModelNumber1
</t>
  </si>
  <si>
    <t xml:space="preserve"> DEFAULT_DriveModelNumber3</t>
  </si>
  <si>
    <t xml:space="preserve"> DEFAULT_ConfiguredModellNumber1</t>
  </si>
  <si>
    <t xml:space="preserve"> DEFAULT_ConfiguredModellNumber2</t>
  </si>
  <si>
    <t xml:space="preserve"> DEFAULT_ConfiguredModellNumber3</t>
  </si>
  <si>
    <t xml:space="preserve"> DEFAULT_ConfiguredModellNumber4</t>
  </si>
  <si>
    <t xml:space="preserve"> DEFAULT_ConfiguredModellNumber5</t>
  </si>
  <si>
    <t xml:space="preserve"> DEFAULT_ConfiguredModellNumber6</t>
  </si>
  <si>
    <t xml:space="preserve"> DEFAULT_ConfiguredModellNumber7</t>
  </si>
  <si>
    <t xml:space="preserve"> DEFAULT_DriveMaxPhases</t>
  </si>
  <si>
    <t>DEFAULT_MotorConfigurationType</t>
  </si>
  <si>
    <t>DEFAULT_enRotorPoleAngleSensorModelNumber1</t>
  </si>
  <si>
    <t>DEFAULT_enRotorVelocitySensorModelNumber2</t>
  </si>
  <si>
    <t>DEFAULT_enRotorPositionSensorModelNumber3</t>
  </si>
  <si>
    <t>DEFAULT_enRotorPoleAngleSensorModelNumber2</t>
  </si>
  <si>
    <t>DEFAULT_enRotorPoleAngleSensorModelNumber3</t>
  </si>
  <si>
    <t>DEFAULT_enRotorVelocitySensorModelNumber1</t>
  </si>
  <si>
    <t>DEFAULT_enRotorVelocitySensorModelNumber3</t>
  </si>
  <si>
    <t>DEFAULT_enRotorPositionSensorModelNumber1</t>
  </si>
  <si>
    <t>DEFAULT_enRotorPositionSensorModelNumber2</t>
  </si>
  <si>
    <t>ModelNumber</t>
  </si>
  <si>
    <t>DEFAULT_isINLCalibrationActive</t>
  </si>
  <si>
    <t>0</t>
  </si>
  <si>
    <t>DEFAULT_enReferenceCommandType</t>
  </si>
  <si>
    <t>pDEFAULT_enReferenceCommandTypeSelect</t>
  </si>
  <si>
    <t>DEFAULT_MotorInductance_uH</t>
  </si>
  <si>
    <t>DEFAULT_MotorResistance_mOhm</t>
  </si>
  <si>
    <t>DEFAULT_MotorTorqueConstant_uNmA</t>
  </si>
  <si>
    <t>DEFAULT_MotorRatedPeakCurrent_mA</t>
  </si>
  <si>
    <t>DEFAULT_MotorRatedContinuosCurrent_mA</t>
  </si>
  <si>
    <t>DEFAULT_MotorSpeedLimit_RPM</t>
  </si>
  <si>
    <t>Default Reference Source Configuration Setting</t>
  </si>
  <si>
    <t>Configured Drive Type Settings</t>
  </si>
  <si>
    <t>Default Drive Operating Mode  Configuration Settings</t>
  </si>
  <si>
    <t xml:space="preserve"> DEFAULT_DriveRatedMaxContCurrentmA</t>
  </si>
  <si>
    <t xml:space="preserve"> DEFAULT_DriveRatedMaxPeakCurrentmA</t>
  </si>
  <si>
    <t xml:space="preserve"> DEFAULT_DriveRatedMaxVolt</t>
  </si>
  <si>
    <t>Default Reference/Limit Settings</t>
  </si>
  <si>
    <t>Default Servo Control Gain settings</t>
  </si>
  <si>
    <t>Default Failsafe Interrupt Settings</t>
  </si>
  <si>
    <t>Default CANopen Fieldbus Settings</t>
  </si>
  <si>
    <t>c:\VBA\proba.bin</t>
  </si>
  <si>
    <t>DEFAULT_isARSeriesSensorAvailable</t>
  </si>
  <si>
    <t xml:space="preserve"> DEFAULT_VelocityPIDRegulatorMaxLimitmA</t>
  </si>
  <si>
    <t xml:space="preserve"> DEFAULT_VelocityPIDRegulatorMinLimitmA</t>
  </si>
  <si>
    <t>DEFAULT_enVoltageReferenceSelect</t>
  </si>
  <si>
    <t>DEFAULT_fFixedVoltageReferencemV</t>
  </si>
  <si>
    <t>NONE</t>
  </si>
  <si>
    <t>EC04</t>
  </si>
  <si>
    <t>0MP-</t>
  </si>
  <si>
    <t>0H0-</t>
  </si>
  <si>
    <t>E30D</t>
  </si>
  <si>
    <t>-100</t>
  </si>
  <si>
    <t xml:space="preserve">0   </t>
  </si>
  <si>
    <t>PBL7</t>
  </si>
  <si>
    <t>090E</t>
  </si>
  <si>
    <t>REVA</t>
  </si>
  <si>
    <t>3F92C</t>
  </si>
  <si>
    <t>DEFAULT_MaxStallRecoveryAttempts</t>
  </si>
  <si>
    <t>3F930</t>
  </si>
  <si>
    <t>DEFAULT_PositionValidationServoThresholdmRev</t>
  </si>
  <si>
    <t>3F934</t>
  </si>
  <si>
    <t>DEFAULT_PositionValidationServoTimeoutmSec</t>
  </si>
  <si>
    <t>3F938</t>
  </si>
  <si>
    <t>DEFAULT_LogicInputInterruptAssignmentBitPacked</t>
  </si>
  <si>
    <t xml:space="preserve">    </t>
  </si>
  <si>
    <t>3F93C</t>
  </si>
  <si>
    <t>DEFAULT_VelocityUnitScalingNumerator</t>
  </si>
  <si>
    <t>3F940</t>
  </si>
  <si>
    <t>DEFAULT_VelocityUnitScalingDenominator</t>
  </si>
  <si>
    <t>3F944</t>
  </si>
  <si>
    <t>DEFAULT_PositionUnitScalingNumerator</t>
  </si>
  <si>
    <t>3F948</t>
  </si>
  <si>
    <t>DEFAULT_PositionUnitScalingDenominator</t>
  </si>
  <si>
    <t>3F94C</t>
  </si>
  <si>
    <t>DEFAULT_AccelUnitScalingNumerator</t>
  </si>
  <si>
    <t>3F950</t>
  </si>
  <si>
    <t>DEFAULT_AccelUnitScalingDenominator</t>
  </si>
  <si>
    <t>2B-1</t>
  </si>
  <si>
    <t>805</t>
  </si>
  <si>
    <t>935-</t>
  </si>
  <si>
    <t>REVD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</si>
</sst>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
      <sz val="11"/>
      <name val="Calibri"/>
      <family val="2"/>
      <scheme val="minor"/>
    </font>
  </fonts>
  <fills count="8">
    <fill>
      <patternFill patternType="none"/>
    </fill>
    <fill>
      <patternFill patternType="gray125"/>
    </fill>
    <fill>
      <patternFill patternType="solid">
        <fgColor theme="0" tint="-4.9989318521683403E-2"/>
        <bgColor indexed="64"/>
      </patternFill>
    </fill>
    <fill>
      <patternFill patternType="solid">
        <fgColor theme="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0"/>
        <bgColor indexed="64"/>
      </patternFill>
    </fill>
  </fills>
  <borders count="44">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top style="thin">
        <color indexed="64"/>
      </top>
      <bottom style="double">
        <color indexed="64"/>
      </bottom>
      <diagonal/>
    </border>
    <border>
      <left style="medium">
        <color indexed="64"/>
      </left>
      <right style="medium">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right/>
      <top style="thin">
        <color indexed="64"/>
      </top>
      <bottom style="thin">
        <color indexed="64"/>
      </bottom>
      <diagonal/>
    </border>
    <border>
      <left/>
      <right/>
      <top style="thin">
        <color indexed="64"/>
      </top>
      <bottom style="double">
        <color indexed="64"/>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top/>
      <bottom style="double">
        <color indexed="64"/>
      </bottom>
      <diagonal/>
    </border>
  </borders>
  <cellStyleXfs count="1">
    <xf numFmtId="0" fontId="0" fillId="0" borderId="0"/>
  </cellStyleXfs>
  <cellXfs count="145">
    <xf numFmtId="0" fontId="0" fillId="0" borderId="0" xfId="0"/>
    <xf numFmtId="0" fontId="0" fillId="0" borderId="0" xfId="0" applyAlignment="1">
      <alignment horizontal="center" vertical="center"/>
    </xf>
    <xf numFmtId="0" fontId="0" fillId="0" borderId="0" xfId="0" applyAlignment="1">
      <alignment horizontal="center" vertical="top"/>
    </xf>
    <xf numFmtId="0" fontId="0" fillId="0" borderId="7" xfId="0" applyBorder="1"/>
    <xf numFmtId="0" fontId="0" fillId="0" borderId="7" xfId="0" applyBorder="1" applyAlignment="1">
      <alignment horizontal="center" vertical="top"/>
    </xf>
    <xf numFmtId="0" fontId="0" fillId="0" borderId="0" xfId="0" applyAlignment="1">
      <alignment horizontal="left" vertical="center" wrapText="1"/>
    </xf>
    <xf numFmtId="0" fontId="1" fillId="0" borderId="0" xfId="0" applyFont="1" applyAlignment="1">
      <alignment horizontal="center" vertical="top"/>
    </xf>
    <xf numFmtId="0" fontId="0" fillId="0" borderId="0" xfId="0" applyAlignment="1">
      <alignment horizontal="left"/>
    </xf>
    <xf numFmtId="0" fontId="0" fillId="0" borderId="0" xfId="0" applyAlignment="1">
      <alignment horizontal="left" vertical="top"/>
    </xf>
    <xf numFmtId="0" fontId="0" fillId="0" borderId="0" xfId="0" applyAlignment="1">
      <alignment horizontal="left" vertical="top" wrapText="1"/>
    </xf>
    <xf numFmtId="0" fontId="0" fillId="0" borderId="8" xfId="0" applyBorder="1" applyAlignment="1">
      <alignment horizontal="center" vertical="top"/>
    </xf>
    <xf numFmtId="0" fontId="0" fillId="0" borderId="9" xfId="0" applyBorder="1" applyAlignment="1">
      <alignment horizontal="center" vertical="top"/>
    </xf>
    <xf numFmtId="0" fontId="0" fillId="0" borderId="10" xfId="0" applyBorder="1" applyAlignment="1">
      <alignment horizontal="center" vertical="top"/>
    </xf>
    <xf numFmtId="0" fontId="0" fillId="2" borderId="0" xfId="0" applyFill="1" applyAlignment="1">
      <alignment horizontal="center" vertical="top"/>
    </xf>
    <xf numFmtId="0" fontId="0" fillId="0" borderId="11" xfId="0" applyBorder="1"/>
    <xf numFmtId="0" fontId="0" fillId="0" borderId="12" xfId="0" applyBorder="1" applyAlignment="1">
      <alignment horizontal="center" vertical="top"/>
    </xf>
    <xf numFmtId="0" fontId="0" fillId="0" borderId="11" xfId="0" applyBorder="1" applyAlignment="1">
      <alignment horizontal="center" vertical="top"/>
    </xf>
    <xf numFmtId="0" fontId="0" fillId="0" borderId="11" xfId="0" applyBorder="1" applyAlignment="1">
      <alignment horizontal="left" vertical="top"/>
    </xf>
    <xf numFmtId="0" fontId="0" fillId="0" borderId="13" xfId="0" applyBorder="1" applyAlignment="1">
      <alignment horizontal="center" vertical="top"/>
    </xf>
    <xf numFmtId="0" fontId="0" fillId="2" borderId="13" xfId="0" applyFill="1" applyBorder="1" applyAlignment="1">
      <alignment horizontal="center" vertical="top"/>
    </xf>
    <xf numFmtId="0" fontId="0" fillId="0" borderId="15" xfId="0" applyBorder="1" applyAlignment="1">
      <alignment horizontal="center" vertical="top"/>
    </xf>
    <xf numFmtId="0" fontId="0" fillId="0" borderId="16" xfId="0" applyBorder="1" applyAlignment="1">
      <alignment horizontal="center" vertical="top"/>
    </xf>
    <xf numFmtId="0" fontId="0" fillId="2" borderId="18" xfId="0" applyFill="1" applyBorder="1" applyAlignment="1">
      <alignment horizontal="center" vertical="top"/>
    </xf>
    <xf numFmtId="0" fontId="0" fillId="0" borderId="18" xfId="0" applyBorder="1" applyAlignment="1">
      <alignment horizontal="center" vertical="top"/>
    </xf>
    <xf numFmtId="0" fontId="0" fillId="0" borderId="19" xfId="0" applyBorder="1" applyAlignment="1">
      <alignment horizontal="center" vertical="top"/>
    </xf>
    <xf numFmtId="0" fontId="0" fillId="2" borderId="16" xfId="0" applyFill="1" applyBorder="1" applyAlignment="1">
      <alignment horizontal="center" vertical="top"/>
    </xf>
    <xf numFmtId="0" fontId="0" fillId="0" borderId="1" xfId="0" applyBorder="1" applyAlignment="1">
      <alignment horizontal="center" vertical="top"/>
    </xf>
    <xf numFmtId="0" fontId="0" fillId="0" borderId="20" xfId="0" applyBorder="1" applyAlignment="1">
      <alignment horizontal="center" vertical="top"/>
    </xf>
    <xf numFmtId="0" fontId="0" fillId="0" borderId="2" xfId="0" applyBorder="1" applyAlignment="1">
      <alignment horizontal="center" vertical="top"/>
    </xf>
    <xf numFmtId="0" fontId="0" fillId="2" borderId="3" xfId="0" applyFill="1" applyBorder="1" applyAlignment="1">
      <alignment horizontal="center" vertical="top"/>
    </xf>
    <xf numFmtId="0" fontId="0" fillId="2" borderId="4" xfId="0" applyFill="1" applyBorder="1" applyAlignment="1">
      <alignment horizontal="center" vertical="top"/>
    </xf>
    <xf numFmtId="0" fontId="0" fillId="0" borderId="3" xfId="0" applyBorder="1" applyAlignment="1">
      <alignment horizontal="center" vertical="top"/>
    </xf>
    <xf numFmtId="0" fontId="0" fillId="0" borderId="4" xfId="0" applyBorder="1" applyAlignment="1">
      <alignment horizontal="center" vertical="top"/>
    </xf>
    <xf numFmtId="0" fontId="0" fillId="2" borderId="26" xfId="0" applyFill="1" applyBorder="1" applyAlignment="1">
      <alignment horizontal="center" vertical="top"/>
    </xf>
    <xf numFmtId="0" fontId="0" fillId="2" borderId="27" xfId="0" applyFill="1" applyBorder="1" applyAlignment="1">
      <alignment horizontal="center" vertical="top"/>
    </xf>
    <xf numFmtId="0" fontId="0" fillId="2" borderId="23" xfId="0" applyFill="1" applyBorder="1" applyAlignment="1">
      <alignment horizontal="center" vertical="top"/>
    </xf>
    <xf numFmtId="0" fontId="0" fillId="2" borderId="28" xfId="0" applyFill="1" applyBorder="1" applyAlignment="1">
      <alignment horizontal="center" vertical="top"/>
    </xf>
    <xf numFmtId="0" fontId="0" fillId="0" borderId="25" xfId="0" applyBorder="1" applyAlignment="1">
      <alignment horizontal="center" vertical="top"/>
    </xf>
    <xf numFmtId="0" fontId="0" fillId="0" borderId="26" xfId="0" applyBorder="1" applyAlignment="1">
      <alignment horizontal="center" vertical="top"/>
    </xf>
    <xf numFmtId="0" fontId="0" fillId="0" borderId="27" xfId="0" applyBorder="1" applyAlignment="1">
      <alignment horizontal="center" vertical="top"/>
    </xf>
    <xf numFmtId="0" fontId="0" fillId="0" borderId="23" xfId="0" applyBorder="1" applyAlignment="1">
      <alignment horizontal="center" vertical="top"/>
    </xf>
    <xf numFmtId="0" fontId="0" fillId="0" borderId="28" xfId="0" applyBorder="1" applyAlignment="1">
      <alignment horizontal="center" vertical="top"/>
    </xf>
    <xf numFmtId="0" fontId="0" fillId="2" borderId="31" xfId="0" applyFill="1" applyBorder="1" applyAlignment="1">
      <alignment horizontal="center" vertical="top"/>
    </xf>
    <xf numFmtId="0" fontId="0" fillId="2" borderId="32" xfId="0" applyFill="1" applyBorder="1" applyAlignment="1">
      <alignment horizontal="center" vertical="top"/>
    </xf>
    <xf numFmtId="0" fontId="0" fillId="2" borderId="33" xfId="0" applyFill="1" applyBorder="1" applyAlignment="1">
      <alignment horizontal="center" vertical="top"/>
    </xf>
    <xf numFmtId="0" fontId="0" fillId="2" borderId="30" xfId="0" applyFill="1" applyBorder="1" applyAlignment="1">
      <alignment horizontal="center" vertical="top"/>
    </xf>
    <xf numFmtId="0" fontId="0" fillId="2" borderId="29" xfId="0" applyFill="1" applyBorder="1" applyAlignment="1">
      <alignment horizontal="center" vertical="top"/>
    </xf>
    <xf numFmtId="0" fontId="0" fillId="2" borderId="24" xfId="0" applyFill="1" applyBorder="1"/>
    <xf numFmtId="0" fontId="0" fillId="0" borderId="14" xfId="0" applyBorder="1"/>
    <xf numFmtId="0" fontId="0" fillId="0" borderId="24" xfId="0" applyBorder="1"/>
    <xf numFmtId="0" fontId="0" fillId="2" borderId="7" xfId="0" applyFill="1" applyBorder="1" applyAlignment="1">
      <alignment horizontal="center" vertical="top"/>
    </xf>
    <xf numFmtId="0" fontId="0" fillId="0" borderId="34" xfId="0" applyBorder="1" applyAlignment="1">
      <alignment horizontal="center" vertical="top"/>
    </xf>
    <xf numFmtId="0" fontId="0" fillId="2" borderId="34" xfId="0" applyFill="1" applyBorder="1" applyAlignment="1">
      <alignment horizontal="center" vertical="top"/>
    </xf>
    <xf numFmtId="0" fontId="0" fillId="2" borderId="35" xfId="0" applyFill="1" applyBorder="1" applyAlignment="1">
      <alignment horizontal="center" vertical="top"/>
    </xf>
    <xf numFmtId="0" fontId="0" fillId="2" borderId="26" xfId="0" applyFill="1" applyBorder="1" applyAlignment="1">
      <alignment horizontal="left" vertical="top" wrapText="1"/>
    </xf>
    <xf numFmtId="0" fontId="0" fillId="0" borderId="16" xfId="0" applyBorder="1" applyAlignment="1">
      <alignment horizontal="left" vertical="top" wrapText="1"/>
    </xf>
    <xf numFmtId="0" fontId="0" fillId="2" borderId="16" xfId="0" applyFill="1" applyBorder="1" applyAlignment="1">
      <alignment horizontal="left" vertical="top" wrapText="1"/>
    </xf>
    <xf numFmtId="0" fontId="0" fillId="0" borderId="26" xfId="0" applyBorder="1" applyAlignment="1">
      <alignment horizontal="left" vertical="top" wrapText="1"/>
    </xf>
    <xf numFmtId="0" fontId="0" fillId="2" borderId="17" xfId="0" applyFill="1" applyBorder="1" applyAlignment="1">
      <alignment horizontal="left" vertical="top" wrapText="1"/>
    </xf>
    <xf numFmtId="0" fontId="0" fillId="3" borderId="23" xfId="0" applyFill="1" applyBorder="1" applyAlignment="1">
      <alignment horizontal="center" vertical="top"/>
    </xf>
    <xf numFmtId="0" fontId="0" fillId="3" borderId="13" xfId="0" applyFill="1" applyBorder="1" applyAlignment="1">
      <alignment horizontal="center" vertical="top"/>
    </xf>
    <xf numFmtId="0" fontId="0" fillId="2" borderId="36" xfId="0" applyFill="1" applyBorder="1" applyAlignment="1">
      <alignment horizontal="center" vertical="top"/>
    </xf>
    <xf numFmtId="0" fontId="0" fillId="2" borderId="5" xfId="0" applyFill="1" applyBorder="1" applyAlignment="1">
      <alignment horizontal="center" vertical="top"/>
    </xf>
    <xf numFmtId="0" fontId="0" fillId="2" borderId="17" xfId="0" applyFill="1" applyBorder="1" applyAlignment="1">
      <alignment horizontal="center" vertical="top"/>
    </xf>
    <xf numFmtId="0" fontId="0" fillId="3" borderId="0" xfId="0" applyFill="1" applyAlignment="1">
      <alignment horizontal="center" vertical="top"/>
    </xf>
    <xf numFmtId="0" fontId="0" fillId="0" borderId="36" xfId="0" applyBorder="1" applyAlignment="1">
      <alignment horizontal="center" vertical="top"/>
    </xf>
    <xf numFmtId="0" fontId="0" fillId="0" borderId="37" xfId="0" applyBorder="1" applyAlignment="1">
      <alignment horizontal="center" vertical="top"/>
    </xf>
    <xf numFmtId="0" fontId="0" fillId="2" borderId="38" xfId="0" applyFill="1" applyBorder="1"/>
    <xf numFmtId="0" fontId="0" fillId="2" borderId="39" xfId="0" applyFill="1" applyBorder="1" applyAlignment="1">
      <alignment horizontal="center" vertical="top"/>
    </xf>
    <xf numFmtId="0" fontId="0" fillId="2" borderId="40" xfId="0" applyFill="1" applyBorder="1" applyAlignment="1">
      <alignment horizontal="center" vertical="top"/>
    </xf>
    <xf numFmtId="0" fontId="0" fillId="2" borderId="41" xfId="0" applyFill="1" applyBorder="1" applyAlignment="1">
      <alignment horizontal="center" vertical="top"/>
    </xf>
    <xf numFmtId="0" fontId="0" fillId="2" borderId="6" xfId="0" applyFill="1" applyBorder="1" applyAlignment="1">
      <alignment horizontal="center" vertical="top"/>
    </xf>
    <xf numFmtId="0" fontId="0" fillId="2" borderId="42" xfId="0" applyFill="1" applyBorder="1" applyAlignment="1">
      <alignment horizontal="center" vertical="top"/>
    </xf>
    <xf numFmtId="0" fontId="0" fillId="3" borderId="27" xfId="0" applyFill="1" applyBorder="1" applyAlignment="1">
      <alignment horizontal="center" vertical="top"/>
    </xf>
    <xf numFmtId="0" fontId="0" fillId="3" borderId="28" xfId="0" applyFill="1" applyBorder="1" applyAlignment="1">
      <alignment horizontal="center" vertical="top"/>
    </xf>
    <xf numFmtId="0" fontId="0" fillId="3" borderId="16" xfId="0" applyFill="1" applyBorder="1" applyAlignment="1">
      <alignment horizontal="left" vertical="top" wrapText="1"/>
    </xf>
    <xf numFmtId="0" fontId="0" fillId="3" borderId="34" xfId="0" applyFill="1" applyBorder="1" applyAlignment="1">
      <alignment horizontal="center" vertical="top"/>
    </xf>
    <xf numFmtId="0" fontId="0" fillId="3" borderId="18" xfId="0" applyFill="1" applyBorder="1" applyAlignment="1">
      <alignment horizontal="center" vertical="top"/>
    </xf>
    <xf numFmtId="0" fontId="0" fillId="3" borderId="16" xfId="0" applyFill="1" applyBorder="1" applyAlignment="1">
      <alignment horizontal="center" vertical="top"/>
    </xf>
    <xf numFmtId="0" fontId="0" fillId="3" borderId="3" xfId="0" applyFill="1" applyBorder="1" applyAlignment="1">
      <alignment horizontal="center" vertical="top"/>
    </xf>
    <xf numFmtId="0" fontId="0" fillId="3" borderId="4" xfId="0" applyFill="1" applyBorder="1" applyAlignment="1">
      <alignment horizontal="center" vertical="top"/>
    </xf>
    <xf numFmtId="0" fontId="0" fillId="3" borderId="36" xfId="0" applyFill="1" applyBorder="1" applyAlignment="1">
      <alignment horizontal="center" vertical="top"/>
    </xf>
    <xf numFmtId="0" fontId="0" fillId="3" borderId="17" xfId="0" applyFill="1" applyBorder="1" applyAlignment="1">
      <alignment horizontal="left" vertical="top" wrapText="1"/>
    </xf>
    <xf numFmtId="0" fontId="0" fillId="3" borderId="39" xfId="0" applyFill="1" applyBorder="1" applyAlignment="1">
      <alignment horizontal="center" vertical="top"/>
    </xf>
    <xf numFmtId="0" fontId="0" fillId="3" borderId="40" xfId="0" applyFill="1" applyBorder="1" applyAlignment="1">
      <alignment horizontal="center" vertical="top"/>
    </xf>
    <xf numFmtId="0" fontId="0" fillId="3" borderId="17" xfId="0" applyFill="1" applyBorder="1" applyAlignment="1">
      <alignment horizontal="center" vertical="top"/>
    </xf>
    <xf numFmtId="0" fontId="0" fillId="3" borderId="5" xfId="0" applyFill="1" applyBorder="1" applyAlignment="1">
      <alignment horizontal="center" vertical="top"/>
    </xf>
    <xf numFmtId="0" fontId="0" fillId="3" borderId="41" xfId="0" applyFill="1" applyBorder="1" applyAlignment="1">
      <alignment horizontal="center" vertical="top"/>
    </xf>
    <xf numFmtId="0" fontId="0" fillId="3" borderId="6" xfId="0" applyFill="1" applyBorder="1" applyAlignment="1">
      <alignment horizontal="center" vertical="top"/>
    </xf>
    <xf numFmtId="0" fontId="0" fillId="3" borderId="42" xfId="0" applyFill="1" applyBorder="1" applyAlignment="1">
      <alignment horizontal="center" vertical="top"/>
    </xf>
    <xf numFmtId="0" fontId="0" fillId="3" borderId="0" xfId="0" applyFill="1" applyAlignment="1">
      <alignment horizontal="left" vertical="top" wrapText="1"/>
    </xf>
    <xf numFmtId="0" fontId="0" fillId="0" borderId="43" xfId="0" applyBorder="1" applyAlignment="1">
      <alignment horizontal="center" vertical="top"/>
    </xf>
    <xf numFmtId="0" fontId="1" fillId="4" borderId="0" xfId="0" applyFont="1" applyFill="1" applyAlignment="1">
      <alignment horizontal="center" vertical="top"/>
    </xf>
    <xf numFmtId="0" fontId="1" fillId="4" borderId="13" xfId="0" applyFont="1" applyFill="1" applyBorder="1" applyAlignment="1">
      <alignment horizontal="center" vertical="top"/>
    </xf>
    <xf numFmtId="0" fontId="0" fillId="3" borderId="0" xfId="0" applyFill="1"/>
    <xf numFmtId="0" fontId="0" fillId="3" borderId="0" xfId="0" applyFill="1" applyAlignment="1">
      <alignment horizontal="center" vertical="center"/>
    </xf>
    <xf numFmtId="0" fontId="0" fillId="3" borderId="0" xfId="0" applyFill="1" applyAlignment="1">
      <alignment horizontal="left" vertical="center"/>
    </xf>
    <xf numFmtId="0" fontId="0" fillId="3" borderId="0" xfId="0" applyFill="1" applyAlignment="1">
      <alignment horizontal="left" vertical="center" wrapText="1"/>
    </xf>
    <xf numFmtId="0" fontId="1" fillId="4" borderId="13" xfId="0" applyFont="1" applyFill="1" applyBorder="1" applyAlignment="1">
      <alignment horizontal="center" vertical="top" wrapText="1"/>
    </xf>
    <xf numFmtId="0" fontId="0" fillId="3" borderId="11" xfId="0" applyFill="1" applyBorder="1" applyAlignment="1">
      <alignment horizontal="center" vertical="top"/>
    </xf>
    <xf numFmtId="0" fontId="0" fillId="2" borderId="12" xfId="0" applyFill="1" applyBorder="1"/>
    <xf numFmtId="0" fontId="0" fillId="0" borderId="17" xfId="0" applyBorder="1" applyAlignment="1">
      <alignment horizontal="left" vertical="top" wrapText="1"/>
    </xf>
    <xf numFmtId="0" fontId="0" fillId="0" borderId="39" xfId="0" applyBorder="1" applyAlignment="1">
      <alignment horizontal="center" vertical="top"/>
    </xf>
    <xf numFmtId="0" fontId="0" fillId="0" borderId="40" xfId="0" applyBorder="1" applyAlignment="1">
      <alignment horizontal="center" vertical="top"/>
    </xf>
    <xf numFmtId="0" fontId="0" fillId="0" borderId="17" xfId="0" applyBorder="1" applyAlignment="1">
      <alignment horizontal="center" vertical="top"/>
    </xf>
    <xf numFmtId="0" fontId="0" fillId="0" borderId="5" xfId="0" applyBorder="1" applyAlignment="1">
      <alignment horizontal="center" vertical="top"/>
    </xf>
    <xf numFmtId="0" fontId="0" fillId="0" borderId="41" xfId="0" applyBorder="1" applyAlignment="1">
      <alignment horizontal="center" vertical="top"/>
    </xf>
    <xf numFmtId="0" fontId="0" fillId="0" borderId="6" xfId="0" applyBorder="1" applyAlignment="1">
      <alignment horizontal="center" vertical="top"/>
    </xf>
    <xf numFmtId="0" fontId="0" fillId="0" borderId="42" xfId="0" applyBorder="1" applyAlignment="1">
      <alignment horizontal="center" vertical="top"/>
    </xf>
    <xf numFmtId="49" fontId="1" fillId="4" borderId="13" xfId="0" quotePrefix="1" applyNumberFormat="1" applyFont="1" applyFill="1" applyBorder="1" applyAlignment="1">
      <alignment horizontal="center" vertical="top" wrapText="1"/>
    </xf>
    <xf numFmtId="49" fontId="1" fillId="4" borderId="13" xfId="0" applyNumberFormat="1" applyFont="1" applyFill="1" applyBorder="1" applyAlignment="1">
      <alignment horizontal="center" vertical="top"/>
    </xf>
    <xf numFmtId="49" fontId="1" fillId="4" borderId="13" xfId="0" applyNumberFormat="1" applyFont="1" applyFill="1" applyBorder="1" applyAlignment="1">
      <alignment horizontal="center" vertical="top" wrapText="1"/>
    </xf>
    <xf numFmtId="49" fontId="0" fillId="2" borderId="25" xfId="0" applyNumberFormat="1" applyFill="1" applyBorder="1" applyAlignment="1">
      <alignment horizontal="center" vertical="top"/>
    </xf>
    <xf numFmtId="49" fontId="0" fillId="0" borderId="25" xfId="0" applyNumberFormat="1" applyBorder="1" applyAlignment="1">
      <alignment horizontal="center" vertical="top"/>
    </xf>
    <xf numFmtId="49" fontId="0" fillId="0" borderId="18" xfId="0" applyNumberFormat="1" applyBorder="1" applyAlignment="1">
      <alignment horizontal="center" vertical="top"/>
    </xf>
    <xf numFmtId="49" fontId="0" fillId="2" borderId="18" xfId="0" applyNumberFormat="1" applyFill="1" applyBorder="1" applyAlignment="1">
      <alignment horizontal="center" vertical="top"/>
    </xf>
    <xf numFmtId="0" fontId="0" fillId="0" borderId="21" xfId="0" applyBorder="1" applyAlignment="1">
      <alignment horizontal="center" vertical="top"/>
    </xf>
    <xf numFmtId="0" fontId="0" fillId="3" borderId="21" xfId="0" applyFill="1" applyBorder="1" applyAlignment="1">
      <alignment horizontal="center" vertical="top"/>
    </xf>
    <xf numFmtId="0" fontId="0" fillId="3" borderId="0" xfId="0" applyFill="1" applyAlignment="1">
      <alignment horizontal="left" vertical="top"/>
    </xf>
    <xf numFmtId="0" fontId="1" fillId="4" borderId="23" xfId="0" applyFont="1" applyFill="1" applyBorder="1" applyAlignment="1">
      <alignment horizontal="center" vertical="top"/>
    </xf>
    <xf numFmtId="0" fontId="1" fillId="4" borderId="41" xfId="0" applyFont="1" applyFill="1" applyBorder="1" applyAlignment="1">
      <alignment horizontal="center" vertical="top"/>
    </xf>
    <xf numFmtId="0" fontId="0" fillId="3" borderId="13" xfId="0" applyFill="1" applyBorder="1" applyAlignment="1">
      <alignment horizontal="left" vertical="top" wrapText="1"/>
    </xf>
    <xf numFmtId="0" fontId="0" fillId="0" borderId="13" xfId="0" applyBorder="1" applyAlignment="1">
      <alignment horizontal="left" vertical="top"/>
    </xf>
    <xf numFmtId="0" fontId="0" fillId="3" borderId="13" xfId="0" applyFill="1" applyBorder="1" applyAlignment="1">
      <alignment horizontal="left" vertical="top"/>
    </xf>
    <xf numFmtId="0" fontId="0" fillId="0" borderId="13" xfId="0" applyBorder="1" applyAlignment="1">
      <alignment horizontal="left" vertical="top" wrapText="1"/>
    </xf>
    <xf numFmtId="0" fontId="0" fillId="0" borderId="23" xfId="0" applyBorder="1" applyAlignment="1">
      <alignment horizontal="left" vertical="top"/>
    </xf>
    <xf numFmtId="0" fontId="0" fillId="3" borderId="41" xfId="0" applyFill="1" applyBorder="1" applyAlignment="1">
      <alignment horizontal="left" vertical="top" wrapText="1"/>
    </xf>
    <xf numFmtId="0" fontId="0" fillId="3" borderId="23" xfId="0" applyFill="1" applyBorder="1" applyAlignment="1">
      <alignment horizontal="left" vertical="top" wrapText="1"/>
    </xf>
    <xf numFmtId="0" fontId="0" fillId="0" borderId="41" xfId="0" applyBorder="1" applyAlignment="1">
      <alignment horizontal="left" vertical="top" wrapText="1"/>
    </xf>
    <xf numFmtId="0" fontId="0" fillId="3" borderId="41" xfId="0" applyFill="1" applyBorder="1" applyAlignment="1">
      <alignment horizontal="left" vertical="top"/>
    </xf>
    <xf numFmtId="0" fontId="6" fillId="0" borderId="13" xfId="0" applyFont="1" applyBorder="1" applyAlignment="1">
      <alignment horizontal="center" vertical="top"/>
    </xf>
    <xf numFmtId="49" fontId="1" fillId="4" borderId="23" xfId="0" applyNumberFormat="1" applyFont="1" applyFill="1" applyBorder="1" applyAlignment="1">
      <alignment horizontal="center" vertical="top"/>
    </xf>
    <xf numFmtId="0" fontId="1" fillId="0" borderId="41" xfId="0" applyFont="1" applyBorder="1" applyAlignment="1">
      <alignment horizontal="center" vertical="top"/>
    </xf>
    <xf numFmtId="0" fontId="1" fillId="0" borderId="41" xfId="0" applyFont="1" applyBorder="1" applyAlignment="1">
      <alignment horizontal="left" vertical="top"/>
    </xf>
    <xf numFmtId="0" fontId="1" fillId="5" borderId="23" xfId="0" applyFont="1" applyFill="1" applyBorder="1" applyAlignment="1">
      <alignment horizontal="center" vertical="top"/>
    </xf>
    <xf numFmtId="0" fontId="1" fillId="5" borderId="13" xfId="0" applyFont="1" applyFill="1" applyBorder="1" applyAlignment="1">
      <alignment horizontal="center" vertical="top"/>
    </xf>
    <xf numFmtId="0" fontId="1" fillId="5" borderId="41" xfId="0" applyFont="1" applyFill="1" applyBorder="1" applyAlignment="1">
      <alignment horizontal="center" vertical="top"/>
    </xf>
    <xf numFmtId="0" fontId="1" fillId="6" borderId="23" xfId="0" applyFont="1" applyFill="1" applyBorder="1" applyAlignment="1">
      <alignment horizontal="center" vertical="top"/>
    </xf>
    <xf numFmtId="0" fontId="1" fillId="6" borderId="13" xfId="0" applyFont="1" applyFill="1" applyBorder="1" applyAlignment="1">
      <alignment horizontal="center" vertical="top"/>
    </xf>
    <xf numFmtId="0" fontId="1" fillId="6" borderId="41" xfId="0" applyFont="1" applyFill="1" applyBorder="1" applyAlignment="1">
      <alignment horizontal="center" vertical="top"/>
    </xf>
    <xf numFmtId="0" fontId="1" fillId="5" borderId="13" xfId="0" applyFont="1" applyFill="1" applyBorder="1" applyAlignment="1" applyProtection="1">
      <alignment horizontal="center" vertical="top"/>
      <protection locked="0"/>
    </xf>
    <xf numFmtId="0" fontId="0" fillId="7" borderId="41" xfId="0" applyFill="1" applyBorder="1" applyAlignment="1">
      <alignment horizontal="center" vertical="top"/>
    </xf>
    <xf numFmtId="0" fontId="0" fillId="0" borderId="21" xfId="0" applyBorder="1" applyAlignment="1">
      <alignment horizontal="center" vertical="top"/>
    </xf>
    <xf numFmtId="0" fontId="0" fillId="0" borderId="11" xfId="0" applyBorder="1" applyAlignment="1">
      <alignment horizontal="center" vertical="top"/>
    </xf>
    <xf numFmtId="0" fontId="0" fillId="0" borderId="22" xfId="0" applyBorder="1" applyAlignment="1">
      <alignment horizontal="center" vertical="top"/>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I20"/>
  <sheetViews>
    <sheetView workbookViewId="0">
      <selection activeCell="H13" sqref="H13"/>
    </sheetView>
  </sheetViews>
  <sheetFormatPr defaultRowHeight="15" x14ac:dyDescent="0.25"/>
  <cols>
    <col min="2" max="2" width="15.5703125" customWidth="1"/>
    <col min="3" max="3" width="36.140625" customWidth="1"/>
    <col min="4" max="4" width="13" customWidth="1"/>
    <col min="5" max="5" width="9.140625" hidden="1" customWidth="1"/>
    <col min="6" max="6" width="22.28515625" hidden="1" customWidth="1"/>
    <col min="7" max="7" width="13.5703125" hidden="1" customWidth="1"/>
    <col min="8" max="8" width="56" customWidth="1"/>
  </cols>
  <sheetData>
    <row r="1" spans="1:9" x14ac:dyDescent="0.25">
      <c r="A1" s="2" t="s">
        <v>106</v>
      </c>
      <c r="B1" s="2" t="s">
        <v>103</v>
      </c>
      <c r="C1" s="8" t="s">
        <v>66</v>
      </c>
      <c r="D1" s="92" t="s">
        <v>92</v>
      </c>
      <c r="E1" s="2" t="s">
        <v>0</v>
      </c>
      <c r="F1" s="2" t="s">
        <v>1</v>
      </c>
      <c r="G1" s="2" t="s">
        <v>51</v>
      </c>
      <c r="H1" s="2" t="s">
        <v>98</v>
      </c>
      <c r="I1" s="2"/>
    </row>
    <row r="2" spans="1:9" ht="17.25" customHeight="1" x14ac:dyDescent="0.25">
      <c r="A2" s="64">
        <v>0</v>
      </c>
      <c r="B2" s="64" t="str">
        <f>DEC2HEX('Memory  Map'!$B$3 + (A2*4))</f>
        <v>3F800</v>
      </c>
      <c r="C2" s="90" t="s">
        <v>104</v>
      </c>
      <c r="D2" s="93">
        <v>6</v>
      </c>
      <c r="E2" s="64">
        <v>0</v>
      </c>
      <c r="F2" s="64">
        <v>2147483647</v>
      </c>
      <c r="G2" s="64" t="s">
        <v>77</v>
      </c>
      <c r="H2" s="2"/>
      <c r="I2" s="2"/>
    </row>
    <row r="3" spans="1:9" x14ac:dyDescent="0.25">
      <c r="A3" s="2">
        <f t="shared" ref="A3:A8" si="0">A2+1</f>
        <v>1</v>
      </c>
      <c r="B3" s="2" t="str">
        <f>DEC2HEX('Memory  Map'!$B$3 + (A3*4))</f>
        <v>3F804</v>
      </c>
      <c r="C3" s="8" t="s">
        <v>127</v>
      </c>
      <c r="D3" s="93" t="s">
        <v>173</v>
      </c>
      <c r="E3" s="2">
        <v>0</v>
      </c>
      <c r="F3" s="2">
        <v>4294967296</v>
      </c>
      <c r="G3" s="2" t="s">
        <v>77</v>
      </c>
      <c r="H3" s="2"/>
    </row>
    <row r="4" spans="1:9" x14ac:dyDescent="0.25">
      <c r="A4" s="64">
        <f t="shared" si="0"/>
        <v>2</v>
      </c>
      <c r="B4" s="64" t="str">
        <f>DEC2HEX('Memory  Map'!$B$3 + (A4*4))</f>
        <v>3F808</v>
      </c>
      <c r="C4" s="90" t="s">
        <v>128</v>
      </c>
      <c r="D4" s="110" t="s">
        <v>203</v>
      </c>
      <c r="E4" s="64">
        <v>0</v>
      </c>
      <c r="F4" s="64">
        <v>4294967296</v>
      </c>
      <c r="G4" s="64" t="s">
        <v>77</v>
      </c>
      <c r="H4" s="2"/>
    </row>
    <row r="5" spans="1:9" x14ac:dyDescent="0.25">
      <c r="A5" s="2">
        <f t="shared" si="0"/>
        <v>3</v>
      </c>
      <c r="B5" s="2" t="str">
        <f>DEC2HEX('Memory  Map'!$B$3 + (A5*4))</f>
        <v>3F80C</v>
      </c>
      <c r="C5" s="8" t="s">
        <v>129</v>
      </c>
      <c r="D5" s="110" t="s">
        <v>174</v>
      </c>
      <c r="E5" s="2">
        <v>0</v>
      </c>
      <c r="F5" s="2">
        <v>4294967296</v>
      </c>
      <c r="G5" s="2" t="s">
        <v>77</v>
      </c>
      <c r="H5" s="2"/>
    </row>
    <row r="6" spans="1:9" x14ac:dyDescent="0.25">
      <c r="A6" s="64">
        <f t="shared" si="0"/>
        <v>4</v>
      </c>
      <c r="B6" s="64" t="str">
        <f>DEC2HEX('Memory  Map'!$B$3 + (A6*4))</f>
        <v>3F810</v>
      </c>
      <c r="C6" s="90" t="s">
        <v>130</v>
      </c>
      <c r="D6" s="110" t="s">
        <v>205</v>
      </c>
      <c r="E6" s="64">
        <v>0</v>
      </c>
      <c r="F6" s="64">
        <v>4294967296</v>
      </c>
      <c r="G6" s="64" t="s">
        <v>77</v>
      </c>
      <c r="H6" s="2"/>
    </row>
    <row r="7" spans="1:9" x14ac:dyDescent="0.25">
      <c r="A7" s="2">
        <f t="shared" si="0"/>
        <v>5</v>
      </c>
      <c r="B7" s="2" t="str">
        <f>DEC2HEX('Memory  Map'!$B$3 + (A7*4))</f>
        <v>3F814</v>
      </c>
      <c r="C7" s="8" t="s">
        <v>131</v>
      </c>
      <c r="D7" s="110" t="s">
        <v>206</v>
      </c>
      <c r="E7" s="2">
        <v>0</v>
      </c>
      <c r="F7" s="2">
        <v>4294967296</v>
      </c>
      <c r="G7" s="2" t="s">
        <v>77</v>
      </c>
    </row>
    <row r="8" spans="1:9" x14ac:dyDescent="0.25">
      <c r="A8" s="64">
        <f t="shared" si="0"/>
        <v>6</v>
      </c>
      <c r="B8" s="64" t="str">
        <f>DEC2HEX('Memory  Map'!$B$3 + (A8*4))</f>
        <v>3F818</v>
      </c>
      <c r="C8" s="90" t="s">
        <v>132</v>
      </c>
      <c r="D8" s="110"/>
      <c r="E8" s="64">
        <v>0</v>
      </c>
      <c r="F8" s="64">
        <v>4294967296</v>
      </c>
      <c r="G8" s="64" t="s">
        <v>77</v>
      </c>
    </row>
    <row r="9" spans="1:9" x14ac:dyDescent="0.25">
      <c r="A9" s="2">
        <f t="shared" ref="A9:A17" si="1">A8+1</f>
        <v>7</v>
      </c>
      <c r="B9" s="2" t="str">
        <f>DEC2HEX('Memory  Map'!$B$3 + (A9*4))</f>
        <v>3F81C</v>
      </c>
      <c r="C9" s="8" t="s">
        <v>133</v>
      </c>
      <c r="D9" s="110"/>
      <c r="E9" s="2">
        <v>0</v>
      </c>
      <c r="F9" s="2">
        <v>4294967296</v>
      </c>
      <c r="G9" s="2" t="s">
        <v>77</v>
      </c>
    </row>
    <row r="10" spans="1:9" x14ac:dyDescent="0.25">
      <c r="A10" s="64">
        <f t="shared" si="1"/>
        <v>8</v>
      </c>
      <c r="B10" s="64" t="str">
        <f>DEC2HEX('Memory  Map'!$B$3 + (A10*4))</f>
        <v>3F820</v>
      </c>
      <c r="C10" s="90" t="s">
        <v>124</v>
      </c>
      <c r="D10" s="93">
        <v>4294967295</v>
      </c>
      <c r="E10" s="64"/>
      <c r="F10" s="64"/>
      <c r="G10" s="64"/>
    </row>
    <row r="11" spans="1:9" ht="11.45" customHeight="1" x14ac:dyDescent="0.25">
      <c r="A11" s="2">
        <f t="shared" si="1"/>
        <v>9</v>
      </c>
      <c r="B11" s="2" t="str">
        <f>DEC2HEX('Memory  Map'!$B$3 + (A11*4))</f>
        <v>3F824</v>
      </c>
      <c r="C11" s="8" t="s">
        <v>124</v>
      </c>
      <c r="D11" s="93">
        <v>4294967295</v>
      </c>
      <c r="E11" s="2"/>
      <c r="F11" s="2"/>
      <c r="G11" s="2"/>
    </row>
    <row r="12" spans="1:9" x14ac:dyDescent="0.25">
      <c r="A12" s="64">
        <f t="shared" si="1"/>
        <v>10</v>
      </c>
      <c r="B12" s="64" t="str">
        <f>DEC2HEX('Memory  Map'!$B$3 + (A12*4))</f>
        <v>3F828</v>
      </c>
      <c r="C12" s="90" t="s">
        <v>124</v>
      </c>
      <c r="D12" s="93">
        <v>4294967295</v>
      </c>
      <c r="E12" s="64"/>
      <c r="F12" s="64"/>
      <c r="G12" s="64"/>
    </row>
    <row r="13" spans="1:9" x14ac:dyDescent="0.25">
      <c r="A13" s="2">
        <f t="shared" si="1"/>
        <v>11</v>
      </c>
      <c r="B13" s="2" t="str">
        <f>DEC2HEX('Memory  Map'!$B$3 + (A13*4))</f>
        <v>3F82C</v>
      </c>
      <c r="C13" s="8" t="s">
        <v>124</v>
      </c>
      <c r="D13" s="93">
        <v>4294967295</v>
      </c>
      <c r="E13" s="2"/>
      <c r="F13" s="2"/>
      <c r="G13" s="2"/>
    </row>
    <row r="14" spans="1:9" x14ac:dyDescent="0.25">
      <c r="A14" s="64">
        <f t="shared" si="1"/>
        <v>12</v>
      </c>
      <c r="B14" s="64" t="str">
        <f>DEC2HEX('Memory  Map'!$B$3 + (A14*4))</f>
        <v>3F830</v>
      </c>
      <c r="C14" s="90" t="s">
        <v>124</v>
      </c>
      <c r="D14" s="93">
        <v>4294967295</v>
      </c>
      <c r="E14" s="64"/>
      <c r="F14" s="64"/>
      <c r="G14" s="64"/>
    </row>
    <row r="15" spans="1:9" x14ac:dyDescent="0.25">
      <c r="A15" s="2">
        <f t="shared" si="1"/>
        <v>13</v>
      </c>
      <c r="B15" s="2" t="str">
        <f>DEC2HEX('Memory  Map'!$B$3 + (A15*4))</f>
        <v>3F834</v>
      </c>
      <c r="C15" s="8" t="s">
        <v>124</v>
      </c>
      <c r="D15" s="93">
        <v>4294967295</v>
      </c>
      <c r="E15" s="2"/>
      <c r="F15" s="2"/>
      <c r="G15" s="2"/>
    </row>
    <row r="16" spans="1:9" x14ac:dyDescent="0.25">
      <c r="A16" s="64">
        <f t="shared" si="1"/>
        <v>14</v>
      </c>
      <c r="B16" s="64" t="str">
        <f>DEC2HEX('Memory  Map'!$B$3 + (A16*4))</f>
        <v>3F838</v>
      </c>
      <c r="C16" s="90" t="s">
        <v>124</v>
      </c>
      <c r="D16" s="93">
        <v>4294967295</v>
      </c>
      <c r="E16" s="64"/>
      <c r="F16" s="64"/>
      <c r="G16" s="64"/>
    </row>
    <row r="17" spans="1:7" x14ac:dyDescent="0.25">
      <c r="A17" s="2">
        <f t="shared" si="1"/>
        <v>15</v>
      </c>
      <c r="B17" s="2" t="str">
        <f>DEC2HEX('Memory  Map'!$B$3 + (A17*4))</f>
        <v>3F83C</v>
      </c>
      <c r="C17" s="8" t="s">
        <v>124</v>
      </c>
      <c r="D17" s="93">
        <v>4294967295</v>
      </c>
      <c r="E17" s="2"/>
      <c r="F17" s="2"/>
      <c r="G17" s="2"/>
    </row>
    <row r="20" spans="1:7" x14ac:dyDescent="0.25">
      <c r="B20" t="s">
        <v>145</v>
      </c>
    </row>
  </sheetData>
  <dataValidations count="2">
    <dataValidation type="list" allowBlank="1" showInputMessage="1" showErrorMessage="1" sqref="D2" xr:uid="{F195E63D-9423-4489-AAEA-EEF20823F80E}">
      <formula1>"6"</formula1>
    </dataValidation>
    <dataValidation type="textLength" allowBlank="1" showInputMessage="1" showErrorMessage="1" sqref="D3:D9" xr:uid="{761B34A4-5128-42A8-8414-686ECE3DD190}">
      <formula1>0</formula1>
      <formula2>4</formula2>
    </dataValidation>
  </dataValidations>
  <pageMargins left="0.7" right="0.7" top="0.75" bottom="0.75" header="0.3" footer="0.3"/>
  <pageSetup orientation="landscape"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H51"/>
  <sheetViews>
    <sheetView workbookViewId="0">
      <selection activeCell="D16" sqref="D16"/>
    </sheetView>
  </sheetViews>
  <sheetFormatPr defaultRowHeight="15" x14ac:dyDescent="0.25"/>
  <cols>
    <col min="1" max="1" width="5.7109375" style="2" customWidth="1"/>
    <col min="2" max="2" width="14.85546875" style="2" customWidth="1"/>
    <col min="3" max="3" width="45" customWidth="1"/>
    <col min="4" max="4" width="12.42578125" style="6" customWidth="1"/>
    <col min="5" max="5" width="0.28515625" customWidth="1"/>
    <col min="6" max="6" width="11.5703125" hidden="1" customWidth="1"/>
    <col min="7" max="7" width="20.7109375" hidden="1" customWidth="1"/>
    <col min="8" max="8" width="60" customWidth="1"/>
    <col min="10" max="10" width="40.140625" customWidth="1"/>
    <col min="11" max="11" width="3.140625" customWidth="1"/>
  </cols>
  <sheetData>
    <row r="1" spans="1:8" x14ac:dyDescent="0.25">
      <c r="A1" s="2" t="s">
        <v>106</v>
      </c>
      <c r="B1" s="2" t="s">
        <v>103</v>
      </c>
      <c r="D1" s="93" t="s">
        <v>92</v>
      </c>
      <c r="E1" s="1" t="s">
        <v>0</v>
      </c>
      <c r="F1" s="1" t="s">
        <v>1</v>
      </c>
      <c r="G1" s="2" t="s">
        <v>51</v>
      </c>
      <c r="H1" t="s">
        <v>98</v>
      </c>
    </row>
    <row r="2" spans="1:8" x14ac:dyDescent="0.25">
      <c r="A2" s="64">
        <v>0</v>
      </c>
      <c r="B2" s="64" t="str">
        <f>DEC2HEX('Memory  Map'!$B$5 +( Motor!A2 * 4))</f>
        <v>3FA20</v>
      </c>
      <c r="C2" s="94" t="s">
        <v>78</v>
      </c>
      <c r="D2" s="110" t="s">
        <v>173</v>
      </c>
      <c r="E2" s="64">
        <v>0</v>
      </c>
      <c r="F2" s="64">
        <v>4294967296</v>
      </c>
      <c r="G2" s="64" t="s">
        <v>77</v>
      </c>
      <c r="H2" s="94"/>
    </row>
    <row r="3" spans="1:8" x14ac:dyDescent="0.25">
      <c r="A3" s="2">
        <f>A2+1</f>
        <v>1</v>
      </c>
      <c r="B3" s="2" t="str">
        <f>DEC2HEX('Memory  Map'!$B$5 +( Motor!A3 * 4))</f>
        <v>3FA24</v>
      </c>
      <c r="C3" t="s">
        <v>79</v>
      </c>
      <c r="D3" s="110" t="s">
        <v>203</v>
      </c>
      <c r="E3" s="2">
        <v>0</v>
      </c>
      <c r="F3" s="2">
        <v>4294967296</v>
      </c>
      <c r="G3" s="2" t="s">
        <v>77</v>
      </c>
    </row>
    <row r="4" spans="1:8" x14ac:dyDescent="0.25">
      <c r="A4" s="64">
        <f>A3+1</f>
        <v>2</v>
      </c>
      <c r="B4" s="64" t="str">
        <f>DEC2HEX('Memory  Map'!$B$5 +( Motor!A4 * 4))</f>
        <v>3FA28</v>
      </c>
      <c r="C4" s="94" t="s">
        <v>116</v>
      </c>
      <c r="D4" s="110" t="s">
        <v>175</v>
      </c>
      <c r="E4" s="64">
        <v>0</v>
      </c>
      <c r="F4" s="64">
        <v>4294967296</v>
      </c>
      <c r="G4" s="64" t="s">
        <v>77</v>
      </c>
      <c r="H4" s="94"/>
    </row>
    <row r="5" spans="1:8" x14ac:dyDescent="0.25">
      <c r="A5" s="2">
        <f>A4+1</f>
        <v>3</v>
      </c>
      <c r="B5" s="2" t="str">
        <f>DEC2HEX('Memory  Map'!$B$5 +( Motor!A5 * 4))</f>
        <v>3FA2C</v>
      </c>
      <c r="C5" t="s">
        <v>117</v>
      </c>
      <c r="D5" s="110" t="s">
        <v>204</v>
      </c>
      <c r="E5" s="2">
        <v>0</v>
      </c>
      <c r="F5" s="2">
        <v>4294967296</v>
      </c>
      <c r="G5" s="2" t="s">
        <v>77</v>
      </c>
    </row>
    <row r="6" spans="1:8" x14ac:dyDescent="0.25">
      <c r="A6" s="64">
        <f t="shared" ref="A6:A13" si="0">A5+1</f>
        <v>4</v>
      </c>
      <c r="B6" s="64" t="str">
        <f>DEC2HEX('Memory  Map'!$B$5 +( Motor!A6 * 4))</f>
        <v>3FA30</v>
      </c>
      <c r="C6" s="94" t="s">
        <v>150</v>
      </c>
      <c r="D6" s="93">
        <v>2530</v>
      </c>
      <c r="E6" s="64">
        <v>1</v>
      </c>
      <c r="F6" s="64">
        <v>2147483648</v>
      </c>
      <c r="G6" s="64" t="s">
        <v>91</v>
      </c>
      <c r="H6" s="94"/>
    </row>
    <row r="7" spans="1:8" x14ac:dyDescent="0.25">
      <c r="A7" s="2">
        <f t="shared" si="0"/>
        <v>5</v>
      </c>
      <c r="B7" s="2" t="str">
        <f>DEC2HEX('Memory  Map'!$B$5 +( Motor!A7 * 4))</f>
        <v>3FA34</v>
      </c>
      <c r="C7" t="s">
        <v>151</v>
      </c>
      <c r="D7" s="93">
        <v>2610</v>
      </c>
      <c r="E7" s="2">
        <v>1</v>
      </c>
      <c r="F7" s="2">
        <v>2147483648</v>
      </c>
      <c r="G7" s="2" t="s">
        <v>91</v>
      </c>
    </row>
    <row r="8" spans="1:8" x14ac:dyDescent="0.25">
      <c r="A8" s="64">
        <f t="shared" si="0"/>
        <v>6</v>
      </c>
      <c r="B8" s="64" t="str">
        <f>DEC2HEX('Memory  Map'!$B$5 +( Motor!A8 * 4))</f>
        <v>3FA38</v>
      </c>
      <c r="C8" s="94" t="s">
        <v>7</v>
      </c>
      <c r="D8" s="93">
        <v>4</v>
      </c>
      <c r="E8" s="64">
        <v>0</v>
      </c>
      <c r="F8" s="64">
        <v>255</v>
      </c>
      <c r="G8" s="64" t="s">
        <v>52</v>
      </c>
      <c r="H8" s="94"/>
    </row>
    <row r="9" spans="1:8" x14ac:dyDescent="0.25">
      <c r="A9" s="2">
        <f t="shared" si="0"/>
        <v>7</v>
      </c>
      <c r="B9" s="2" t="str">
        <f>DEC2HEX('Memory  Map'!$B$5 +( Motor!A9 * 4))</f>
        <v>3FA3C</v>
      </c>
      <c r="C9" t="s">
        <v>152</v>
      </c>
      <c r="D9" s="93">
        <v>44800</v>
      </c>
      <c r="E9" s="2">
        <v>1</v>
      </c>
      <c r="F9" s="2">
        <v>2147483648</v>
      </c>
      <c r="G9" s="2" t="s">
        <v>91</v>
      </c>
    </row>
    <row r="10" spans="1:8" x14ac:dyDescent="0.25">
      <c r="A10" s="64">
        <f t="shared" si="0"/>
        <v>8</v>
      </c>
      <c r="B10" s="64" t="str">
        <f>DEC2HEX('Memory  Map'!$B$5 +( Motor!A10 * 4))</f>
        <v>3FA40</v>
      </c>
      <c r="C10" s="94" t="s">
        <v>154</v>
      </c>
      <c r="D10" s="93">
        <v>1400</v>
      </c>
      <c r="E10" s="64">
        <v>1</v>
      </c>
      <c r="F10" s="64">
        <v>2147483648</v>
      </c>
      <c r="G10" s="64" t="s">
        <v>91</v>
      </c>
      <c r="H10" s="94"/>
    </row>
    <row r="11" spans="1:8" x14ac:dyDescent="0.25">
      <c r="A11" s="2">
        <f t="shared" si="0"/>
        <v>9</v>
      </c>
      <c r="B11" s="2" t="str">
        <f>DEC2HEX('Memory  Map'!$B$5 +( Motor!A11 * 4))</f>
        <v>3FA44</v>
      </c>
      <c r="C11" t="s">
        <v>153</v>
      </c>
      <c r="D11" s="93">
        <v>4200</v>
      </c>
      <c r="E11" s="2">
        <v>1</v>
      </c>
      <c r="F11" s="2">
        <v>2147483648</v>
      </c>
      <c r="G11" s="2" t="s">
        <v>91</v>
      </c>
    </row>
    <row r="12" spans="1:8" x14ac:dyDescent="0.25">
      <c r="A12" s="64">
        <f t="shared" si="0"/>
        <v>10</v>
      </c>
      <c r="B12" s="64" t="str">
        <f>DEC2HEX('Memory  Map'!$B$5 +( Motor!A12 * 4))</f>
        <v>3FA48</v>
      </c>
      <c r="C12" s="94" t="s">
        <v>155</v>
      </c>
      <c r="D12" s="93">
        <v>6000</v>
      </c>
      <c r="E12" s="64">
        <v>0</v>
      </c>
      <c r="F12" s="64">
        <v>2147483648</v>
      </c>
      <c r="G12" s="64" t="s">
        <v>91</v>
      </c>
      <c r="H12" s="94"/>
    </row>
    <row r="13" spans="1:8" x14ac:dyDescent="0.25">
      <c r="A13" s="2">
        <f t="shared" si="0"/>
        <v>11</v>
      </c>
      <c r="B13" s="2" t="str">
        <f>DEC2HEX('Memory  Map'!$B$5 +( Motor!A13 * 4))</f>
        <v>3FA4C</v>
      </c>
      <c r="C13" t="s">
        <v>118</v>
      </c>
      <c r="D13" s="93">
        <v>4294967295</v>
      </c>
      <c r="E13" s="2"/>
      <c r="F13" s="2"/>
      <c r="G13" s="2"/>
    </row>
    <row r="14" spans="1:8" x14ac:dyDescent="0.25">
      <c r="A14" s="64">
        <f t="shared" ref="A14:A31" si="1">A13+1</f>
        <v>12</v>
      </c>
      <c r="B14" s="64" t="str">
        <f>DEC2HEX('Memory  Map'!$B$5 +( Motor!A14 * 4))</f>
        <v>3FA50</v>
      </c>
      <c r="C14" s="94" t="s">
        <v>118</v>
      </c>
      <c r="D14" s="93">
        <v>4294967295</v>
      </c>
      <c r="E14" s="64"/>
      <c r="F14" s="64"/>
      <c r="G14" s="64"/>
      <c r="H14" s="94"/>
    </row>
    <row r="15" spans="1:8" x14ac:dyDescent="0.25">
      <c r="A15" s="2">
        <f t="shared" si="1"/>
        <v>13</v>
      </c>
      <c r="B15" s="2" t="str">
        <f>DEC2HEX('Memory  Map'!$B$5 +( Motor!A15 * 4))</f>
        <v>3FA54</v>
      </c>
      <c r="C15" t="s">
        <v>118</v>
      </c>
      <c r="D15" s="93">
        <v>4294967295</v>
      </c>
      <c r="E15" s="2"/>
      <c r="F15" s="2"/>
      <c r="G15" s="2"/>
    </row>
    <row r="16" spans="1:8" x14ac:dyDescent="0.25">
      <c r="A16" s="64">
        <f t="shared" si="1"/>
        <v>14</v>
      </c>
      <c r="B16" s="64" t="str">
        <f>DEC2HEX('Memory  Map'!$B$5 +( Motor!A16 * 4))</f>
        <v>3FA58</v>
      </c>
      <c r="C16" s="94" t="s">
        <v>118</v>
      </c>
      <c r="D16" s="93">
        <v>4294967295</v>
      </c>
      <c r="E16" s="64"/>
      <c r="F16" s="64"/>
      <c r="G16" s="64"/>
      <c r="H16" s="94"/>
    </row>
    <row r="17" spans="1:8" x14ac:dyDescent="0.25">
      <c r="A17" s="2">
        <f t="shared" si="1"/>
        <v>15</v>
      </c>
      <c r="B17" s="2" t="str">
        <f>DEC2HEX('Memory  Map'!$B$5 +( Motor!A17 * 4))</f>
        <v>3FA5C</v>
      </c>
      <c r="C17" t="s">
        <v>118</v>
      </c>
      <c r="D17" s="93">
        <v>4294967295</v>
      </c>
      <c r="E17" s="2"/>
      <c r="F17" s="2"/>
      <c r="G17" s="2"/>
    </row>
    <row r="18" spans="1:8" x14ac:dyDescent="0.25">
      <c r="A18" s="64">
        <f t="shared" si="1"/>
        <v>16</v>
      </c>
      <c r="B18" s="64" t="str">
        <f>DEC2HEX('Memory  Map'!$B$5 +( Motor!A18 * 4))</f>
        <v>3FA60</v>
      </c>
      <c r="C18" s="94" t="s">
        <v>118</v>
      </c>
      <c r="D18" s="93">
        <v>4294967295</v>
      </c>
      <c r="E18" s="64"/>
      <c r="F18" s="64"/>
      <c r="G18" s="64"/>
      <c r="H18" s="94"/>
    </row>
    <row r="19" spans="1:8" x14ac:dyDescent="0.25">
      <c r="A19" s="2">
        <f t="shared" si="1"/>
        <v>17</v>
      </c>
      <c r="B19" s="2" t="str">
        <f>DEC2HEX('Memory  Map'!$B$5 +( Motor!A19 * 4))</f>
        <v>3FA64</v>
      </c>
      <c r="C19" t="s">
        <v>118</v>
      </c>
      <c r="D19" s="93">
        <v>4294967295</v>
      </c>
      <c r="E19" s="2"/>
      <c r="F19" s="2"/>
      <c r="G19" s="2"/>
    </row>
    <row r="20" spans="1:8" x14ac:dyDescent="0.25">
      <c r="A20" s="64">
        <f t="shared" si="1"/>
        <v>18</v>
      </c>
      <c r="B20" s="64" t="str">
        <f>DEC2HEX('Memory  Map'!$B$5 +( Motor!A20 * 4))</f>
        <v>3FA68</v>
      </c>
      <c r="C20" s="94" t="s">
        <v>118</v>
      </c>
      <c r="D20" s="93">
        <v>4294967295</v>
      </c>
      <c r="E20" s="64"/>
      <c r="F20" s="64"/>
      <c r="G20" s="64"/>
      <c r="H20" s="94"/>
    </row>
    <row r="21" spans="1:8" x14ac:dyDescent="0.25">
      <c r="A21" s="2">
        <f t="shared" si="1"/>
        <v>19</v>
      </c>
      <c r="B21" s="2" t="str">
        <f>DEC2HEX('Memory  Map'!$B$5 +( Motor!A21 * 4))</f>
        <v>3FA6C</v>
      </c>
      <c r="C21" t="s">
        <v>118</v>
      </c>
      <c r="D21" s="93">
        <v>4294967295</v>
      </c>
      <c r="E21" s="2"/>
      <c r="F21" s="2"/>
      <c r="G21" s="2"/>
    </row>
    <row r="22" spans="1:8" x14ac:dyDescent="0.25">
      <c r="A22" s="64">
        <f t="shared" si="1"/>
        <v>20</v>
      </c>
      <c r="B22" s="64" t="str">
        <f>DEC2HEX('Memory  Map'!$B$5 +( Motor!A22 * 4))</f>
        <v>3FA70</v>
      </c>
      <c r="C22" s="94" t="s">
        <v>118</v>
      </c>
      <c r="D22" s="93">
        <v>4294967295</v>
      </c>
      <c r="E22" s="64"/>
      <c r="F22" s="64"/>
      <c r="G22" s="64"/>
      <c r="H22" s="94"/>
    </row>
    <row r="23" spans="1:8" x14ac:dyDescent="0.25">
      <c r="A23" s="2">
        <f t="shared" si="1"/>
        <v>21</v>
      </c>
      <c r="B23" s="2" t="str">
        <f>DEC2HEX('Memory  Map'!$B$5 +( Motor!A23 * 4))</f>
        <v>3FA74</v>
      </c>
      <c r="C23" t="s">
        <v>118</v>
      </c>
      <c r="D23" s="93">
        <v>4294967295</v>
      </c>
      <c r="E23" s="2"/>
      <c r="F23" s="2"/>
      <c r="G23" s="2"/>
    </row>
    <row r="24" spans="1:8" x14ac:dyDescent="0.25">
      <c r="A24" s="64">
        <f t="shared" si="1"/>
        <v>22</v>
      </c>
      <c r="B24" s="64" t="str">
        <f>DEC2HEX('Memory  Map'!$B$5 +( Motor!A24 * 4))</f>
        <v>3FA78</v>
      </c>
      <c r="C24" s="94" t="s">
        <v>118</v>
      </c>
      <c r="D24" s="93">
        <v>4294967295</v>
      </c>
      <c r="E24" s="64"/>
      <c r="F24" s="64"/>
      <c r="G24" s="64"/>
      <c r="H24" s="94"/>
    </row>
    <row r="25" spans="1:8" x14ac:dyDescent="0.25">
      <c r="A25" s="2">
        <f t="shared" si="1"/>
        <v>23</v>
      </c>
      <c r="B25" s="2" t="str">
        <f>DEC2HEX('Memory  Map'!$B$5 +( Motor!A25 * 4))</f>
        <v>3FA7C</v>
      </c>
      <c r="C25" t="s">
        <v>118</v>
      </c>
      <c r="D25" s="93">
        <v>4294967295</v>
      </c>
      <c r="E25" s="2"/>
      <c r="F25" s="2"/>
      <c r="G25" s="2"/>
    </row>
    <row r="26" spans="1:8" x14ac:dyDescent="0.25">
      <c r="A26" s="64">
        <f t="shared" si="1"/>
        <v>24</v>
      </c>
      <c r="B26" s="64" t="str">
        <f>DEC2HEX('Memory  Map'!$B$5 +( Motor!A26 * 4))</f>
        <v>3FA80</v>
      </c>
      <c r="C26" s="94" t="s">
        <v>118</v>
      </c>
      <c r="D26" s="93">
        <v>4294967295</v>
      </c>
      <c r="E26" s="64"/>
      <c r="F26" s="64"/>
      <c r="G26" s="64"/>
      <c r="H26" s="94"/>
    </row>
    <row r="27" spans="1:8" x14ac:dyDescent="0.25">
      <c r="A27" s="2">
        <f t="shared" si="1"/>
        <v>25</v>
      </c>
      <c r="B27" s="2" t="str">
        <f>DEC2HEX('Memory  Map'!$B$5 +( Motor!A27 * 4))</f>
        <v>3FA84</v>
      </c>
      <c r="C27" t="s">
        <v>118</v>
      </c>
      <c r="D27" s="93">
        <v>4294967295</v>
      </c>
      <c r="E27" s="2"/>
      <c r="F27" s="2"/>
      <c r="G27" s="2"/>
    </row>
    <row r="28" spans="1:8" x14ac:dyDescent="0.25">
      <c r="A28" s="64">
        <f t="shared" si="1"/>
        <v>26</v>
      </c>
      <c r="B28" s="64" t="str">
        <f>DEC2HEX('Memory  Map'!$B$5 +( Motor!A28 * 4))</f>
        <v>3FA88</v>
      </c>
      <c r="C28" s="94" t="s">
        <v>118</v>
      </c>
      <c r="D28" s="93">
        <v>4294967295</v>
      </c>
      <c r="E28" s="64"/>
      <c r="F28" s="64"/>
      <c r="G28" s="64"/>
      <c r="H28" s="94"/>
    </row>
    <row r="29" spans="1:8" x14ac:dyDescent="0.25">
      <c r="A29" s="2">
        <f t="shared" si="1"/>
        <v>27</v>
      </c>
      <c r="B29" s="2" t="str">
        <f>DEC2HEX('Memory  Map'!$B$5 +( Motor!A29 * 4))</f>
        <v>3FA8C</v>
      </c>
      <c r="C29" t="s">
        <v>118</v>
      </c>
      <c r="D29" s="93">
        <v>4294967295</v>
      </c>
      <c r="E29" s="2"/>
      <c r="F29" s="2"/>
      <c r="G29" s="2"/>
    </row>
    <row r="30" spans="1:8" x14ac:dyDescent="0.25">
      <c r="A30" s="64">
        <f t="shared" si="1"/>
        <v>28</v>
      </c>
      <c r="B30" s="64" t="str">
        <f>DEC2HEX('Memory  Map'!$B$5 +( Motor!A30 * 4))</f>
        <v>3FA90</v>
      </c>
      <c r="C30" s="94" t="s">
        <v>118</v>
      </c>
      <c r="D30" s="93">
        <v>4294967295</v>
      </c>
      <c r="E30" s="64"/>
      <c r="F30" s="64"/>
      <c r="G30" s="64"/>
      <c r="H30" s="94"/>
    </row>
    <row r="31" spans="1:8" x14ac:dyDescent="0.25">
      <c r="A31" s="2">
        <f t="shared" si="1"/>
        <v>29</v>
      </c>
      <c r="B31" s="2" t="str">
        <f>DEC2HEX('Memory  Map'!$B$5 +( Motor!A31 * 4))</f>
        <v>3FA94</v>
      </c>
      <c r="C31" t="s">
        <v>118</v>
      </c>
      <c r="D31" s="93">
        <v>4294967295</v>
      </c>
      <c r="E31" s="2"/>
      <c r="F31" s="2"/>
      <c r="G31" s="2"/>
    </row>
    <row r="32" spans="1:8" x14ac:dyDescent="0.25">
      <c r="A32" s="64">
        <f>A31+1</f>
        <v>30</v>
      </c>
      <c r="B32" s="64" t="str">
        <f>DEC2HEX('Memory  Map'!$B$5 +( Motor!A32 * 4))</f>
        <v>3FA98</v>
      </c>
      <c r="C32" s="94" t="s">
        <v>118</v>
      </c>
      <c r="D32" s="93">
        <v>4294967295</v>
      </c>
      <c r="E32" s="64"/>
      <c r="F32" s="64"/>
      <c r="G32" s="64"/>
      <c r="H32" s="94"/>
    </row>
    <row r="33" spans="1:7" x14ac:dyDescent="0.25">
      <c r="A33" s="2">
        <f>A32+1</f>
        <v>31</v>
      </c>
      <c r="B33" s="2" t="str">
        <f>DEC2HEX('Memory  Map'!$B$5 +( Motor!A33 * 4))</f>
        <v>3FA9C</v>
      </c>
      <c r="C33" t="s">
        <v>118</v>
      </c>
      <c r="D33" s="93">
        <v>4294967295</v>
      </c>
      <c r="E33" s="2"/>
      <c r="F33" s="2"/>
      <c r="G33" s="2"/>
    </row>
    <row r="34" spans="1:7" x14ac:dyDescent="0.25">
      <c r="D34" s="93">
        <v>4294967295</v>
      </c>
    </row>
    <row r="35" spans="1:7" x14ac:dyDescent="0.25">
      <c r="D35" s="93">
        <v>4294967295</v>
      </c>
    </row>
    <row r="36" spans="1:7" x14ac:dyDescent="0.25">
      <c r="D36" s="93">
        <v>4294967295</v>
      </c>
    </row>
    <row r="37" spans="1:7" x14ac:dyDescent="0.25">
      <c r="D37" s="93">
        <v>4294967295</v>
      </c>
    </row>
    <row r="38" spans="1:7" x14ac:dyDescent="0.25">
      <c r="D38" s="93">
        <v>4294967295</v>
      </c>
    </row>
    <row r="39" spans="1:7" x14ac:dyDescent="0.25">
      <c r="D39" s="93">
        <v>4294967295</v>
      </c>
    </row>
    <row r="40" spans="1:7" x14ac:dyDescent="0.25">
      <c r="D40" s="93">
        <v>4294967295</v>
      </c>
    </row>
    <row r="41" spans="1:7" x14ac:dyDescent="0.25">
      <c r="D41" s="93">
        <v>4294967295</v>
      </c>
    </row>
    <row r="42" spans="1:7" x14ac:dyDescent="0.25">
      <c r="D42" s="93">
        <v>4294967295</v>
      </c>
    </row>
    <row r="43" spans="1:7" x14ac:dyDescent="0.25">
      <c r="D43" s="93">
        <v>4294967295</v>
      </c>
    </row>
    <row r="44" spans="1:7" x14ac:dyDescent="0.25">
      <c r="D44" s="93">
        <v>4294967295</v>
      </c>
    </row>
    <row r="45" spans="1:7" x14ac:dyDescent="0.25">
      <c r="D45" s="93">
        <v>4294967295</v>
      </c>
    </row>
    <row r="46" spans="1:7" x14ac:dyDescent="0.25">
      <c r="D46" s="93">
        <v>4294967295</v>
      </c>
    </row>
    <row r="47" spans="1:7" x14ac:dyDescent="0.25">
      <c r="D47" s="93">
        <v>4294967295</v>
      </c>
    </row>
    <row r="48" spans="1:7" x14ac:dyDescent="0.25">
      <c r="D48" s="93">
        <v>4294967295</v>
      </c>
    </row>
    <row r="49" spans="4:4" x14ac:dyDescent="0.25">
      <c r="D49" s="93">
        <v>4294967295</v>
      </c>
    </row>
    <row r="50" spans="4:4" x14ac:dyDescent="0.25">
      <c r="D50" s="93">
        <v>4294967295</v>
      </c>
    </row>
    <row r="51" spans="4:4" x14ac:dyDescent="0.25">
      <c r="D51" s="93">
        <v>4294967295</v>
      </c>
    </row>
  </sheetData>
  <dataValidations count="5">
    <dataValidation type="whole" showInputMessage="1" showErrorMessage="1" sqref="D6:D7" xr:uid="{95F3C63F-C129-47C8-89EA-2BDCEFFD08D8}">
      <formula1>10</formula1>
      <formula2>100000</formula2>
    </dataValidation>
    <dataValidation type="whole" allowBlank="1" showInputMessage="1" showErrorMessage="1" sqref="D9" xr:uid="{1C59A981-3DCE-4D71-9577-3F2E838A1E72}">
      <formula1>1</formula1>
      <formula2>10000000</formula2>
    </dataValidation>
    <dataValidation type="whole" showInputMessage="1" showErrorMessage="1" sqref="D12" xr:uid="{2549F6EC-7EDC-4311-B4D1-43A139536B60}">
      <formula1>1</formula1>
      <formula2>30000</formula2>
    </dataValidation>
    <dataValidation type="whole" showInputMessage="1" showErrorMessage="1" sqref="D10:D11" xr:uid="{5BA66C7B-19C8-41BD-9890-2B54B63B8009}">
      <formula1>1</formula1>
      <formula2>20000</formula2>
    </dataValidation>
    <dataValidation type="whole" allowBlank="1" showInputMessage="1" showErrorMessage="1" sqref="D8" xr:uid="{3B8DE85B-EED5-4BF0-AE77-A2C60E740080}">
      <formula1>1</formula1>
      <formula2>200</formula2>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H65"/>
  <sheetViews>
    <sheetView topLeftCell="B1" workbookViewId="0">
      <pane ySplit="1" topLeftCell="A2" activePane="bottomLeft" state="frozen"/>
      <selection pane="bottomLeft" activeCell="H19" sqref="H19"/>
    </sheetView>
  </sheetViews>
  <sheetFormatPr defaultColWidth="9.140625" defaultRowHeight="15" x14ac:dyDescent="0.25"/>
  <cols>
    <col min="1" max="1" width="9.140625" style="1"/>
    <col min="2" max="2" width="18.42578125" style="2" customWidth="1"/>
    <col min="3" max="3" width="47.140625" style="1" customWidth="1"/>
    <col min="4" max="4" width="11.140625" style="6" customWidth="1"/>
    <col min="5" max="5" width="10.5703125" style="2" hidden="1" customWidth="1"/>
    <col min="6" max="6" width="13.140625" style="2" hidden="1" customWidth="1"/>
    <col min="7" max="7" width="15.5703125" style="1" hidden="1" customWidth="1"/>
    <col min="8" max="8" width="43.85546875" style="1" customWidth="1"/>
    <col min="9" max="16384" width="9.140625" style="1"/>
  </cols>
  <sheetData>
    <row r="1" spans="1:8" x14ac:dyDescent="0.25">
      <c r="A1" s="1" t="s">
        <v>106</v>
      </c>
      <c r="B1" s="2" t="s">
        <v>103</v>
      </c>
      <c r="C1" s="1" t="s">
        <v>66</v>
      </c>
      <c r="D1" s="93" t="s">
        <v>92</v>
      </c>
      <c r="E1" s="2" t="s">
        <v>0</v>
      </c>
      <c r="F1" s="2" t="s">
        <v>1</v>
      </c>
      <c r="G1" s="1" t="s">
        <v>51</v>
      </c>
      <c r="H1" s="1" t="s">
        <v>98</v>
      </c>
    </row>
    <row r="2" spans="1:8" x14ac:dyDescent="0.25">
      <c r="A2" s="95">
        <v>0</v>
      </c>
      <c r="B2" s="64" t="str">
        <f>DEC2HEX('Memory  Map'!$B$6 +( Sensor!A2 * 4))</f>
        <v>3FAA0</v>
      </c>
      <c r="C2" s="96" t="s">
        <v>136</v>
      </c>
      <c r="D2" s="110" t="s">
        <v>176</v>
      </c>
      <c r="E2" s="64">
        <v>0</v>
      </c>
      <c r="F2" s="64">
        <v>4294967296</v>
      </c>
      <c r="G2" s="64" t="s">
        <v>77</v>
      </c>
      <c r="H2" s="95"/>
    </row>
    <row r="3" spans="1:8" x14ac:dyDescent="0.25">
      <c r="A3" s="1">
        <f>A2+1</f>
        <v>1</v>
      </c>
      <c r="B3" s="2" t="str">
        <f>DEC2HEX('Memory  Map'!$B$6 +( Sensor!A3 * 4))</f>
        <v>3FAA4</v>
      </c>
      <c r="C3" s="96" t="s">
        <v>139</v>
      </c>
      <c r="D3" s="110" t="s">
        <v>177</v>
      </c>
      <c r="E3" s="2">
        <v>0</v>
      </c>
      <c r="F3" s="2">
        <v>4294967296</v>
      </c>
      <c r="G3" s="2" t="s">
        <v>77</v>
      </c>
    </row>
    <row r="4" spans="1:8" x14ac:dyDescent="0.25">
      <c r="A4" s="95">
        <f t="shared" ref="A4:A65" si="0">A3+1</f>
        <v>2</v>
      </c>
      <c r="B4" s="64" t="str">
        <f>DEC2HEX('Memory  Map'!$B$6 +( Sensor!A4 * 4))</f>
        <v>3FAA8</v>
      </c>
      <c r="C4" s="96" t="s">
        <v>140</v>
      </c>
      <c r="D4" s="110" t="s">
        <v>178</v>
      </c>
      <c r="E4" s="64">
        <v>0</v>
      </c>
      <c r="F4" s="64">
        <v>4294967296</v>
      </c>
      <c r="G4" s="64" t="s">
        <v>77</v>
      </c>
      <c r="H4" s="95"/>
    </row>
    <row r="5" spans="1:8" x14ac:dyDescent="0.25">
      <c r="A5" s="95">
        <f t="shared" si="0"/>
        <v>3</v>
      </c>
      <c r="B5" s="64" t="str">
        <f>DEC2HEX('Memory  Map'!$B$6 +( Sensor!A5 * 4))</f>
        <v>3FAAC</v>
      </c>
      <c r="C5" t="s">
        <v>141</v>
      </c>
      <c r="D5" s="110" t="s">
        <v>176</v>
      </c>
      <c r="E5" s="64">
        <v>0</v>
      </c>
      <c r="F5" s="64">
        <v>4294967296</v>
      </c>
      <c r="G5" s="64" t="s">
        <v>77</v>
      </c>
      <c r="H5" s="95"/>
    </row>
    <row r="6" spans="1:8" x14ac:dyDescent="0.25">
      <c r="A6" s="95">
        <f t="shared" si="0"/>
        <v>4</v>
      </c>
      <c r="B6" s="2" t="str">
        <f>DEC2HEX('Memory  Map'!$B$6 +( Sensor!A6 * 4))</f>
        <v>3FAB0</v>
      </c>
      <c r="C6" t="s">
        <v>137</v>
      </c>
      <c r="D6" s="110" t="s">
        <v>177</v>
      </c>
      <c r="E6" s="2">
        <v>0</v>
      </c>
      <c r="F6" s="2">
        <v>4294967296</v>
      </c>
      <c r="G6" s="2" t="s">
        <v>77</v>
      </c>
    </row>
    <row r="7" spans="1:8" x14ac:dyDescent="0.25">
      <c r="A7" s="95">
        <f t="shared" si="0"/>
        <v>5</v>
      </c>
      <c r="B7" s="64" t="str">
        <f>DEC2HEX('Memory  Map'!$B$6 +( Sensor!A7 * 4))</f>
        <v>3FAB4</v>
      </c>
      <c r="C7" t="s">
        <v>142</v>
      </c>
      <c r="D7" s="110" t="s">
        <v>178</v>
      </c>
      <c r="E7" s="64">
        <v>0</v>
      </c>
      <c r="F7" s="64">
        <v>4294967296</v>
      </c>
      <c r="G7" s="64" t="s">
        <v>77</v>
      </c>
      <c r="H7" s="95"/>
    </row>
    <row r="8" spans="1:8" x14ac:dyDescent="0.25">
      <c r="A8" s="95">
        <f t="shared" si="0"/>
        <v>6</v>
      </c>
      <c r="B8" s="64" t="str">
        <f>DEC2HEX('Memory  Map'!$B$6 +( Sensor!A8 * 4))</f>
        <v>3FAB8</v>
      </c>
      <c r="C8" s="96" t="s">
        <v>143</v>
      </c>
      <c r="D8" s="110" t="s">
        <v>176</v>
      </c>
      <c r="E8" s="64">
        <v>0</v>
      </c>
      <c r="F8" s="64">
        <v>4294967296</v>
      </c>
      <c r="G8" s="64" t="s">
        <v>77</v>
      </c>
      <c r="H8" s="95"/>
    </row>
    <row r="9" spans="1:8" x14ac:dyDescent="0.25">
      <c r="A9" s="95">
        <f t="shared" si="0"/>
        <v>7</v>
      </c>
      <c r="B9" s="2" t="str">
        <f>DEC2HEX('Memory  Map'!$B$6 +( Sensor!A9 * 4))</f>
        <v>3FABC</v>
      </c>
      <c r="C9" s="96" t="s">
        <v>144</v>
      </c>
      <c r="D9" s="110" t="s">
        <v>177</v>
      </c>
      <c r="E9" s="2">
        <v>0</v>
      </c>
      <c r="F9" s="2">
        <v>4294967296</v>
      </c>
      <c r="G9" s="2" t="s">
        <v>77</v>
      </c>
    </row>
    <row r="10" spans="1:8" x14ac:dyDescent="0.25">
      <c r="A10" s="95">
        <f t="shared" si="0"/>
        <v>8</v>
      </c>
      <c r="B10" s="64" t="str">
        <f>DEC2HEX('Memory  Map'!$B$6 +( Sensor!A10 * 4))</f>
        <v>3FAC0</v>
      </c>
      <c r="C10" s="96" t="s">
        <v>138</v>
      </c>
      <c r="D10" s="110" t="s">
        <v>147</v>
      </c>
      <c r="E10" s="64">
        <v>0</v>
      </c>
      <c r="F10" s="64">
        <v>4294967296</v>
      </c>
      <c r="G10" s="64" t="s">
        <v>77</v>
      </c>
      <c r="H10" s="95"/>
    </row>
    <row r="11" spans="1:8" x14ac:dyDescent="0.25">
      <c r="A11" s="95">
        <f t="shared" si="0"/>
        <v>9</v>
      </c>
      <c r="B11" s="2" t="str">
        <f>DEC2HEX('Memory  Map'!$B$6 +( Sensor!A11 * 4))</f>
        <v>3FAC4</v>
      </c>
      <c r="C11" t="s">
        <v>2</v>
      </c>
      <c r="D11" s="93">
        <v>2</v>
      </c>
      <c r="E11" s="2">
        <v>0</v>
      </c>
      <c r="F11" s="2">
        <v>5</v>
      </c>
      <c r="G11" s="2" t="s">
        <v>48</v>
      </c>
    </row>
    <row r="12" spans="1:8" x14ac:dyDescent="0.25">
      <c r="A12" s="95">
        <f t="shared" si="0"/>
        <v>10</v>
      </c>
      <c r="B12" s="64" t="str">
        <f>DEC2HEX('Memory  Map'!$B$6 +( Sensor!A12 * 4))</f>
        <v>3FAC8</v>
      </c>
      <c r="C12" s="96" t="s">
        <v>3</v>
      </c>
      <c r="D12" s="93">
        <v>2</v>
      </c>
      <c r="E12" s="64">
        <v>0</v>
      </c>
      <c r="F12" s="64">
        <v>5</v>
      </c>
      <c r="G12" s="64" t="s">
        <v>48</v>
      </c>
      <c r="H12" s="95"/>
    </row>
    <row r="13" spans="1:8" x14ac:dyDescent="0.25">
      <c r="A13" s="1">
        <f t="shared" si="0"/>
        <v>11</v>
      </c>
      <c r="B13" s="2" t="str">
        <f>DEC2HEX('Memory  Map'!$B$6 +( Sensor!A13 * 4))</f>
        <v>3FACC</v>
      </c>
      <c r="C13" t="s">
        <v>4</v>
      </c>
      <c r="D13" s="93">
        <v>2</v>
      </c>
      <c r="E13" s="2">
        <v>0</v>
      </c>
      <c r="F13" s="2">
        <v>5</v>
      </c>
      <c r="G13" s="2" t="s">
        <v>48</v>
      </c>
    </row>
    <row r="14" spans="1:8" x14ac:dyDescent="0.25">
      <c r="A14" s="95">
        <f t="shared" si="0"/>
        <v>12</v>
      </c>
      <c r="B14" s="64" t="str">
        <f>DEC2HEX('Memory  Map'!$B$6 +( Sensor!A14 * 4))</f>
        <v>3FAD0</v>
      </c>
      <c r="C14" s="96" t="s">
        <v>5</v>
      </c>
      <c r="D14" s="93">
        <v>1</v>
      </c>
      <c r="E14" s="64">
        <v>0</v>
      </c>
      <c r="F14" s="64">
        <v>1</v>
      </c>
      <c r="G14" s="64" t="s">
        <v>50</v>
      </c>
      <c r="H14" s="95"/>
    </row>
    <row r="15" spans="1:8" x14ac:dyDescent="0.25">
      <c r="A15" s="1">
        <f t="shared" si="0"/>
        <v>13</v>
      </c>
      <c r="B15" s="2" t="str">
        <f>DEC2HEX('Memory  Map'!$B$6 +( Sensor!A15 * 4))</f>
        <v>3FAD4</v>
      </c>
      <c r="C15" t="s">
        <v>6</v>
      </c>
      <c r="D15" s="93">
        <v>1</v>
      </c>
      <c r="E15" s="2">
        <v>0</v>
      </c>
      <c r="F15" s="2">
        <v>1</v>
      </c>
      <c r="G15" s="2" t="s">
        <v>50</v>
      </c>
    </row>
    <row r="16" spans="1:8" x14ac:dyDescent="0.25">
      <c r="A16" s="95">
        <f t="shared" si="0"/>
        <v>14</v>
      </c>
      <c r="B16" s="64" t="str">
        <f>DEC2HEX('Memory  Map'!$B$6 +( Sensor!A16 * 4))</f>
        <v>3FAD8</v>
      </c>
      <c r="C16" s="96" t="s">
        <v>41</v>
      </c>
      <c r="D16" s="93">
        <v>0</v>
      </c>
      <c r="E16" s="64">
        <v>0</v>
      </c>
      <c r="F16" s="64">
        <v>1</v>
      </c>
      <c r="G16" s="64" t="s">
        <v>50</v>
      </c>
      <c r="H16" s="95"/>
    </row>
    <row r="17" spans="1:8" x14ac:dyDescent="0.25">
      <c r="A17" s="1">
        <f t="shared" si="0"/>
        <v>15</v>
      </c>
      <c r="B17" s="2" t="str">
        <f>DEC2HEX('Memory  Map'!$B$6 +( Sensor!A17 * 4))</f>
        <v>3FADC</v>
      </c>
      <c r="C17" t="s">
        <v>40</v>
      </c>
      <c r="D17" s="93">
        <v>0</v>
      </c>
      <c r="E17" s="2">
        <v>0</v>
      </c>
      <c r="F17" s="2">
        <v>1</v>
      </c>
      <c r="G17" s="2" t="s">
        <v>50</v>
      </c>
    </row>
    <row r="18" spans="1:8" x14ac:dyDescent="0.25">
      <c r="A18" s="95">
        <f t="shared" si="0"/>
        <v>16</v>
      </c>
      <c r="B18" s="64" t="str">
        <f>DEC2HEX('Memory  Map'!$B$6 +( Sensor!A18 * 4))</f>
        <v>3FAE0</v>
      </c>
      <c r="C18" s="96" t="s">
        <v>70</v>
      </c>
      <c r="D18" s="93">
        <v>1000</v>
      </c>
      <c r="E18" s="64">
        <v>0</v>
      </c>
      <c r="F18" s="64">
        <v>2147483648</v>
      </c>
      <c r="G18" s="64" t="s">
        <v>91</v>
      </c>
      <c r="H18" s="95"/>
    </row>
    <row r="19" spans="1:8" x14ac:dyDescent="0.25">
      <c r="A19" s="1">
        <f t="shared" si="0"/>
        <v>17</v>
      </c>
      <c r="B19" s="2" t="str">
        <f>DEC2HEX('Memory  Map'!$B$6 +( Sensor!A19 * 4))</f>
        <v>3FAE4</v>
      </c>
      <c r="C19" t="s">
        <v>69</v>
      </c>
      <c r="D19" s="93">
        <v>1</v>
      </c>
      <c r="E19" s="2">
        <v>0</v>
      </c>
      <c r="F19" s="2">
        <v>1</v>
      </c>
      <c r="G19" s="2" t="s">
        <v>50</v>
      </c>
    </row>
    <row r="20" spans="1:8" x14ac:dyDescent="0.25">
      <c r="A20" s="95">
        <f t="shared" si="0"/>
        <v>18</v>
      </c>
      <c r="B20" s="64" t="str">
        <f>DEC2HEX('Memory  Map'!$B$6 +( Sensor!A20 * 4))</f>
        <v>3FAE8</v>
      </c>
      <c r="C20" s="96" t="s">
        <v>39</v>
      </c>
      <c r="D20" s="93">
        <v>0</v>
      </c>
      <c r="E20" s="64">
        <v>0</v>
      </c>
      <c r="F20" s="64">
        <v>1</v>
      </c>
      <c r="G20" s="64" t="s">
        <v>50</v>
      </c>
      <c r="H20" s="95"/>
    </row>
    <row r="21" spans="1:8" x14ac:dyDescent="0.25">
      <c r="A21" s="1">
        <f t="shared" si="0"/>
        <v>19</v>
      </c>
      <c r="B21" s="2" t="str">
        <f>DEC2HEX('Memory  Map'!$B$6 +( Sensor!A21 * 4))</f>
        <v>3FAEC</v>
      </c>
      <c r="C21" t="s">
        <v>53</v>
      </c>
      <c r="D21" s="93">
        <v>2000</v>
      </c>
      <c r="E21" s="2">
        <v>0</v>
      </c>
      <c r="F21" s="2">
        <v>2147483648</v>
      </c>
      <c r="G21" s="2" t="s">
        <v>91</v>
      </c>
    </row>
    <row r="22" spans="1:8" x14ac:dyDescent="0.25">
      <c r="A22" s="1">
        <f t="shared" si="0"/>
        <v>20</v>
      </c>
      <c r="B22" s="2" t="str">
        <f>DEC2HEX('Memory  Map'!$B$6 +( Sensor!A22 * 4))</f>
        <v>3FAF0</v>
      </c>
      <c r="C22" s="96" t="s">
        <v>167</v>
      </c>
      <c r="D22" s="93">
        <v>0</v>
      </c>
      <c r="E22" s="64"/>
      <c r="F22" s="64"/>
      <c r="G22" s="64"/>
      <c r="H22" s="95"/>
    </row>
    <row r="23" spans="1:8" x14ac:dyDescent="0.25">
      <c r="A23" s="1">
        <f t="shared" si="0"/>
        <v>21</v>
      </c>
      <c r="B23" s="2" t="str">
        <f>DEC2HEX('Memory  Map'!$B$6 +( Sensor!A23 * 4))</f>
        <v>3FAF4</v>
      </c>
      <c r="C23" t="s">
        <v>119</v>
      </c>
      <c r="D23" s="93">
        <v>4294967295</v>
      </c>
      <c r="G23" s="2"/>
    </row>
    <row r="24" spans="1:8" x14ac:dyDescent="0.25">
      <c r="A24" s="1">
        <f t="shared" si="0"/>
        <v>22</v>
      </c>
      <c r="B24" s="2" t="str">
        <f>DEC2HEX('Memory  Map'!$B$6 +( Sensor!A24 * 4))</f>
        <v>3FAF8</v>
      </c>
      <c r="C24" s="96" t="s">
        <v>119</v>
      </c>
      <c r="D24" s="93">
        <v>4294967295</v>
      </c>
      <c r="E24" s="64"/>
      <c r="F24" s="64"/>
      <c r="G24" s="64"/>
      <c r="H24" s="95"/>
    </row>
    <row r="25" spans="1:8" x14ac:dyDescent="0.25">
      <c r="A25" s="1">
        <f t="shared" si="0"/>
        <v>23</v>
      </c>
      <c r="B25" s="2" t="str">
        <f>DEC2HEX('Memory  Map'!$B$6 +( Sensor!A25 * 4))</f>
        <v>3FAFC</v>
      </c>
      <c r="C25" t="s">
        <v>119</v>
      </c>
      <c r="D25" s="93">
        <v>4294967295</v>
      </c>
      <c r="G25" s="2"/>
    </row>
    <row r="26" spans="1:8" x14ac:dyDescent="0.25">
      <c r="A26" s="1">
        <f t="shared" si="0"/>
        <v>24</v>
      </c>
      <c r="B26" s="2" t="str">
        <f>DEC2HEX('Memory  Map'!$B$6 +( Sensor!A26 * 4))</f>
        <v>3FB00</v>
      </c>
      <c r="C26" s="96" t="s">
        <v>119</v>
      </c>
      <c r="D26" s="93">
        <v>4294967295</v>
      </c>
      <c r="E26" s="64"/>
      <c r="F26" s="64"/>
      <c r="G26" s="64"/>
      <c r="H26" s="95"/>
    </row>
    <row r="27" spans="1:8" x14ac:dyDescent="0.25">
      <c r="A27" s="1">
        <f t="shared" si="0"/>
        <v>25</v>
      </c>
      <c r="B27" s="2" t="str">
        <f>DEC2HEX('Memory  Map'!$B$6 +( Sensor!A27 * 4))</f>
        <v>3FB04</v>
      </c>
      <c r="C27" t="s">
        <v>119</v>
      </c>
      <c r="D27" s="93">
        <v>4294967295</v>
      </c>
      <c r="G27" s="2"/>
    </row>
    <row r="28" spans="1:8" x14ac:dyDescent="0.25">
      <c r="A28" s="1">
        <f t="shared" si="0"/>
        <v>26</v>
      </c>
      <c r="B28" s="2" t="str">
        <f>DEC2HEX('Memory  Map'!$B$6 +( Sensor!A28 * 4))</f>
        <v>3FB08</v>
      </c>
      <c r="C28" s="96" t="s">
        <v>119</v>
      </c>
      <c r="D28" s="93">
        <v>4294967295</v>
      </c>
      <c r="E28" s="64"/>
      <c r="F28" s="64"/>
      <c r="G28" s="64"/>
      <c r="H28" s="95"/>
    </row>
    <row r="29" spans="1:8" x14ac:dyDescent="0.25">
      <c r="A29" s="1">
        <f t="shared" si="0"/>
        <v>27</v>
      </c>
      <c r="B29" s="2" t="str">
        <f>DEC2HEX('Memory  Map'!$B$6 +( Sensor!A29 * 4))</f>
        <v>3FB0C</v>
      </c>
      <c r="C29" t="s">
        <v>119</v>
      </c>
      <c r="D29" s="93">
        <v>4294967295</v>
      </c>
      <c r="G29" s="2"/>
    </row>
    <row r="30" spans="1:8" x14ac:dyDescent="0.25">
      <c r="A30" s="1">
        <f t="shared" si="0"/>
        <v>28</v>
      </c>
      <c r="B30" s="2" t="str">
        <f>DEC2HEX('Memory  Map'!$B$6 +( Sensor!A30 * 4))</f>
        <v>3FB10</v>
      </c>
      <c r="C30" s="96" t="s">
        <v>119</v>
      </c>
      <c r="D30" s="93">
        <v>4294967295</v>
      </c>
      <c r="E30" s="64"/>
      <c r="F30" s="64"/>
      <c r="G30" s="64"/>
      <c r="H30" s="95"/>
    </row>
    <row r="31" spans="1:8" x14ac:dyDescent="0.25">
      <c r="A31" s="1">
        <f t="shared" si="0"/>
        <v>29</v>
      </c>
      <c r="B31" s="2" t="str">
        <f>DEC2HEX('Memory  Map'!$B$6 +( Sensor!A31 * 4))</f>
        <v>3FB14</v>
      </c>
      <c r="C31" t="s">
        <v>119</v>
      </c>
      <c r="D31" s="93">
        <v>4294967295</v>
      </c>
      <c r="G31" s="2"/>
    </row>
    <row r="32" spans="1:8" x14ac:dyDescent="0.25">
      <c r="A32" s="1">
        <f t="shared" si="0"/>
        <v>30</v>
      </c>
      <c r="B32" s="2" t="str">
        <f>DEC2HEX('Memory  Map'!$B$6 +( Sensor!A32 * 4))</f>
        <v>3FB18</v>
      </c>
      <c r="C32" s="96" t="s">
        <v>119</v>
      </c>
      <c r="D32" s="93">
        <v>4294967295</v>
      </c>
      <c r="E32" s="64"/>
      <c r="F32" s="64"/>
      <c r="G32" s="64"/>
      <c r="H32" s="95"/>
    </row>
    <row r="33" spans="1:8" x14ac:dyDescent="0.25">
      <c r="A33" s="1">
        <f t="shared" si="0"/>
        <v>31</v>
      </c>
      <c r="B33" s="2" t="str">
        <f>DEC2HEX('Memory  Map'!$B$6 +( Sensor!A33 * 4))</f>
        <v>3FB1C</v>
      </c>
      <c r="C33" t="s">
        <v>119</v>
      </c>
      <c r="D33" s="93">
        <v>4294967295</v>
      </c>
      <c r="G33" s="2"/>
    </row>
    <row r="34" spans="1:8" x14ac:dyDescent="0.25">
      <c r="A34" s="1">
        <f t="shared" si="0"/>
        <v>32</v>
      </c>
      <c r="B34" s="2" t="str">
        <f>DEC2HEX('Memory  Map'!$B$6 +( Sensor!A34 * 4))</f>
        <v>3FB20</v>
      </c>
      <c r="C34" s="96" t="s">
        <v>119</v>
      </c>
      <c r="D34" s="93">
        <v>4294967295</v>
      </c>
      <c r="E34" s="64"/>
      <c r="F34" s="64"/>
      <c r="G34" s="64"/>
      <c r="H34" s="95"/>
    </row>
    <row r="35" spans="1:8" x14ac:dyDescent="0.25">
      <c r="A35" s="1">
        <f t="shared" si="0"/>
        <v>33</v>
      </c>
      <c r="B35" s="2" t="str">
        <f>DEC2HEX('Memory  Map'!$B$6 +( Sensor!A35 * 4))</f>
        <v>3FB24</v>
      </c>
      <c r="C35" t="s">
        <v>119</v>
      </c>
      <c r="D35" s="93">
        <v>4294967295</v>
      </c>
      <c r="G35" s="2"/>
    </row>
    <row r="36" spans="1:8" x14ac:dyDescent="0.25">
      <c r="A36" s="1">
        <f t="shared" si="0"/>
        <v>34</v>
      </c>
      <c r="B36" s="2" t="str">
        <f>DEC2HEX('Memory  Map'!$B$6 +( Sensor!A36 * 4))</f>
        <v>3FB28</v>
      </c>
      <c r="C36" s="96" t="s">
        <v>119</v>
      </c>
      <c r="D36" s="93">
        <v>4294967295</v>
      </c>
      <c r="E36" s="64"/>
      <c r="F36" s="64"/>
      <c r="G36" s="64"/>
      <c r="H36" s="95"/>
    </row>
    <row r="37" spans="1:8" x14ac:dyDescent="0.25">
      <c r="A37" s="1">
        <f t="shared" si="0"/>
        <v>35</v>
      </c>
      <c r="B37" s="2" t="str">
        <f>DEC2HEX('Memory  Map'!$B$6 +( Sensor!A37 * 4))</f>
        <v>3FB2C</v>
      </c>
      <c r="C37" t="s">
        <v>119</v>
      </c>
      <c r="D37" s="93">
        <v>4294967295</v>
      </c>
      <c r="G37" s="2"/>
    </row>
    <row r="38" spans="1:8" x14ac:dyDescent="0.25">
      <c r="A38" s="1">
        <f t="shared" si="0"/>
        <v>36</v>
      </c>
      <c r="B38" s="2" t="str">
        <f>DEC2HEX('Memory  Map'!$B$6 +( Sensor!A38 * 4))</f>
        <v>3FB30</v>
      </c>
      <c r="C38" s="96" t="s">
        <v>119</v>
      </c>
      <c r="D38" s="93">
        <v>4294967295</v>
      </c>
      <c r="E38" s="64"/>
      <c r="F38" s="64"/>
      <c r="G38" s="64"/>
      <c r="H38" s="95"/>
    </row>
    <row r="39" spans="1:8" x14ac:dyDescent="0.25">
      <c r="A39" s="1">
        <f t="shared" si="0"/>
        <v>37</v>
      </c>
      <c r="B39" s="2" t="str">
        <f>DEC2HEX('Memory  Map'!$B$6 +( Sensor!A39 * 4))</f>
        <v>3FB34</v>
      </c>
      <c r="C39" t="s">
        <v>119</v>
      </c>
      <c r="D39" s="93">
        <v>4294967295</v>
      </c>
      <c r="G39" s="2"/>
    </row>
    <row r="40" spans="1:8" x14ac:dyDescent="0.25">
      <c r="A40" s="1">
        <f t="shared" si="0"/>
        <v>38</v>
      </c>
      <c r="B40" s="2" t="str">
        <f>DEC2HEX('Memory  Map'!$B$6 +( Sensor!A40 * 4))</f>
        <v>3FB38</v>
      </c>
      <c r="C40" s="96" t="s">
        <v>119</v>
      </c>
      <c r="D40" s="93">
        <v>4294967295</v>
      </c>
      <c r="E40" s="64"/>
      <c r="F40" s="64"/>
      <c r="G40" s="64"/>
      <c r="H40" s="95"/>
    </row>
    <row r="41" spans="1:8" x14ac:dyDescent="0.25">
      <c r="A41" s="1">
        <f t="shared" si="0"/>
        <v>39</v>
      </c>
      <c r="B41" s="2" t="str">
        <f>DEC2HEX('Memory  Map'!$B$6 +( Sensor!A41 * 4))</f>
        <v>3FB3C</v>
      </c>
      <c r="C41" t="s">
        <v>119</v>
      </c>
      <c r="D41" s="93">
        <v>4294967295</v>
      </c>
      <c r="G41" s="2"/>
    </row>
    <row r="42" spans="1:8" x14ac:dyDescent="0.25">
      <c r="A42" s="1">
        <f t="shared" si="0"/>
        <v>40</v>
      </c>
      <c r="B42" s="2" t="str">
        <f>DEC2HEX('Memory  Map'!$B$6 +( Sensor!A42 * 4))</f>
        <v>3FB40</v>
      </c>
      <c r="C42" s="96" t="s">
        <v>119</v>
      </c>
      <c r="D42" s="93">
        <v>4294967295</v>
      </c>
      <c r="E42" s="64"/>
      <c r="F42" s="64"/>
      <c r="G42" s="64"/>
      <c r="H42" s="95"/>
    </row>
    <row r="43" spans="1:8" x14ac:dyDescent="0.25">
      <c r="A43" s="1">
        <f t="shared" si="0"/>
        <v>41</v>
      </c>
      <c r="B43" s="2" t="str">
        <f>DEC2HEX('Memory  Map'!$B$6 +( Sensor!A43 * 4))</f>
        <v>3FB44</v>
      </c>
      <c r="C43" t="s">
        <v>119</v>
      </c>
      <c r="D43" s="93">
        <v>4294967295</v>
      </c>
      <c r="G43" s="2"/>
    </row>
    <row r="44" spans="1:8" x14ac:dyDescent="0.25">
      <c r="A44" s="1">
        <f t="shared" si="0"/>
        <v>42</v>
      </c>
      <c r="B44" s="2" t="str">
        <f>DEC2HEX('Memory  Map'!$B$6 +( Sensor!A44 * 4))</f>
        <v>3FB48</v>
      </c>
      <c r="C44" s="96" t="s">
        <v>119</v>
      </c>
      <c r="D44" s="93">
        <v>4294967295</v>
      </c>
      <c r="E44" s="64"/>
      <c r="F44" s="64"/>
      <c r="G44" s="64"/>
      <c r="H44" s="95"/>
    </row>
    <row r="45" spans="1:8" x14ac:dyDescent="0.25">
      <c r="A45" s="1">
        <f t="shared" si="0"/>
        <v>43</v>
      </c>
      <c r="B45" s="2" t="str">
        <f>DEC2HEX('Memory  Map'!$B$6 +( Sensor!A45 * 4))</f>
        <v>3FB4C</v>
      </c>
      <c r="C45" t="s">
        <v>119</v>
      </c>
      <c r="D45" s="93">
        <v>4294967295</v>
      </c>
      <c r="G45" s="2"/>
    </row>
    <row r="46" spans="1:8" x14ac:dyDescent="0.25">
      <c r="A46" s="1">
        <f t="shared" si="0"/>
        <v>44</v>
      </c>
      <c r="B46" s="2" t="str">
        <f>DEC2HEX('Memory  Map'!$B$6 +( Sensor!A46 * 4))</f>
        <v>3FB50</v>
      </c>
      <c r="C46" s="96" t="s">
        <v>119</v>
      </c>
      <c r="D46" s="93">
        <v>4294967295</v>
      </c>
      <c r="E46" s="64"/>
      <c r="F46" s="64"/>
      <c r="G46" s="64"/>
      <c r="H46" s="95"/>
    </row>
    <row r="47" spans="1:8" x14ac:dyDescent="0.25">
      <c r="A47" s="1">
        <f t="shared" si="0"/>
        <v>45</v>
      </c>
      <c r="B47" s="2" t="str">
        <f>DEC2HEX('Memory  Map'!$B$6 +( Sensor!A47 * 4))</f>
        <v>3FB54</v>
      </c>
      <c r="C47" t="s">
        <v>119</v>
      </c>
      <c r="D47" s="93">
        <v>4294967295</v>
      </c>
      <c r="G47" s="2"/>
    </row>
    <row r="48" spans="1:8" x14ac:dyDescent="0.25">
      <c r="A48" s="1">
        <f t="shared" si="0"/>
        <v>46</v>
      </c>
      <c r="B48" s="2" t="str">
        <f>DEC2HEX('Memory  Map'!$B$6 +( Sensor!A48 * 4))</f>
        <v>3FB58</v>
      </c>
      <c r="C48" s="96" t="s">
        <v>119</v>
      </c>
      <c r="D48" s="93">
        <v>4294967295</v>
      </c>
      <c r="E48" s="64"/>
      <c r="F48" s="64"/>
      <c r="G48" s="64"/>
      <c r="H48" s="95"/>
    </row>
    <row r="49" spans="1:8" x14ac:dyDescent="0.25">
      <c r="A49" s="1">
        <f t="shared" si="0"/>
        <v>47</v>
      </c>
      <c r="B49" s="2" t="str">
        <f>DEC2HEX('Memory  Map'!$B$6 +( Sensor!A49 * 4))</f>
        <v>3FB5C</v>
      </c>
      <c r="C49" t="s">
        <v>119</v>
      </c>
      <c r="D49" s="93">
        <v>4294967295</v>
      </c>
      <c r="G49" s="2"/>
    </row>
    <row r="50" spans="1:8" x14ac:dyDescent="0.25">
      <c r="A50" s="1">
        <f t="shared" si="0"/>
        <v>48</v>
      </c>
      <c r="B50" s="2" t="str">
        <f>DEC2HEX('Memory  Map'!$B$6 +( Sensor!A50 * 4))</f>
        <v>3FB60</v>
      </c>
      <c r="C50" s="96" t="s">
        <v>119</v>
      </c>
      <c r="D50" s="93">
        <v>4294967295</v>
      </c>
      <c r="E50" s="64"/>
      <c r="F50" s="64"/>
      <c r="G50" s="64"/>
      <c r="H50" s="95"/>
    </row>
    <row r="51" spans="1:8" x14ac:dyDescent="0.25">
      <c r="A51" s="1">
        <f t="shared" si="0"/>
        <v>49</v>
      </c>
      <c r="B51" s="2" t="str">
        <f>DEC2HEX('Memory  Map'!$B$6 +( Sensor!A51 * 4))</f>
        <v>3FB64</v>
      </c>
      <c r="C51" t="s">
        <v>119</v>
      </c>
      <c r="D51" s="93">
        <v>4294967295</v>
      </c>
      <c r="G51" s="2"/>
    </row>
    <row r="52" spans="1:8" x14ac:dyDescent="0.25">
      <c r="A52" s="1">
        <f t="shared" si="0"/>
        <v>50</v>
      </c>
      <c r="B52" s="2" t="str">
        <f>DEC2HEX('Memory  Map'!$B$6 +( Sensor!A52 * 4))</f>
        <v>3FB68</v>
      </c>
      <c r="C52" s="96" t="s">
        <v>119</v>
      </c>
      <c r="D52" s="93">
        <v>4294967295</v>
      </c>
      <c r="E52" s="64"/>
      <c r="F52" s="64"/>
      <c r="G52" s="64"/>
      <c r="H52" s="95"/>
    </row>
    <row r="53" spans="1:8" x14ac:dyDescent="0.25">
      <c r="A53" s="1">
        <f t="shared" si="0"/>
        <v>51</v>
      </c>
      <c r="B53" s="2" t="str">
        <f>DEC2HEX('Memory  Map'!$B$6 +( Sensor!A53 * 4))</f>
        <v>3FB6C</v>
      </c>
      <c r="C53" t="s">
        <v>119</v>
      </c>
      <c r="D53" s="93">
        <v>4294967295</v>
      </c>
      <c r="G53" s="2"/>
    </row>
    <row r="54" spans="1:8" x14ac:dyDescent="0.25">
      <c r="A54" s="1">
        <f t="shared" si="0"/>
        <v>52</v>
      </c>
      <c r="B54" s="2" t="str">
        <f>DEC2HEX('Memory  Map'!$B$6 +( Sensor!A54 * 4))</f>
        <v>3FB70</v>
      </c>
      <c r="C54" s="96" t="s">
        <v>119</v>
      </c>
      <c r="D54" s="93">
        <v>4294967295</v>
      </c>
      <c r="E54" s="64"/>
      <c r="F54" s="64"/>
      <c r="G54" s="64"/>
      <c r="H54" s="95"/>
    </row>
    <row r="55" spans="1:8" x14ac:dyDescent="0.25">
      <c r="A55" s="1">
        <f t="shared" si="0"/>
        <v>53</v>
      </c>
      <c r="B55" s="2" t="str">
        <f>DEC2HEX('Memory  Map'!$B$6 +( Sensor!A55 * 4))</f>
        <v>3FB74</v>
      </c>
      <c r="C55" t="s">
        <v>119</v>
      </c>
      <c r="D55" s="93">
        <v>4294967295</v>
      </c>
      <c r="G55" s="2"/>
    </row>
    <row r="56" spans="1:8" x14ac:dyDescent="0.25">
      <c r="A56" s="1">
        <f t="shared" si="0"/>
        <v>54</v>
      </c>
      <c r="B56" s="2" t="str">
        <f>DEC2HEX('Memory  Map'!$B$6 +( Sensor!A56 * 4))</f>
        <v>3FB78</v>
      </c>
      <c r="C56" s="96" t="s">
        <v>119</v>
      </c>
      <c r="D56" s="93">
        <v>4294967295</v>
      </c>
      <c r="E56" s="64"/>
      <c r="F56" s="64"/>
      <c r="G56" s="64"/>
      <c r="H56" s="95"/>
    </row>
    <row r="57" spans="1:8" x14ac:dyDescent="0.25">
      <c r="A57" s="1">
        <f t="shared" si="0"/>
        <v>55</v>
      </c>
      <c r="B57" s="2" t="str">
        <f>DEC2HEX('Memory  Map'!$B$6 +( Sensor!A57 * 4))</f>
        <v>3FB7C</v>
      </c>
      <c r="C57" t="s">
        <v>119</v>
      </c>
      <c r="D57" s="93">
        <v>4294967295</v>
      </c>
      <c r="G57" s="2"/>
    </row>
    <row r="58" spans="1:8" x14ac:dyDescent="0.25">
      <c r="A58" s="1">
        <f t="shared" si="0"/>
        <v>56</v>
      </c>
      <c r="B58" s="2" t="str">
        <f>DEC2HEX('Memory  Map'!$B$6 +( Sensor!A58 * 4))</f>
        <v>3FB80</v>
      </c>
      <c r="C58" s="96" t="s">
        <v>119</v>
      </c>
      <c r="D58" s="93">
        <v>4294967295</v>
      </c>
      <c r="E58" s="64"/>
      <c r="F58" s="64"/>
      <c r="G58" s="64"/>
      <c r="H58" s="95"/>
    </row>
    <row r="59" spans="1:8" x14ac:dyDescent="0.25">
      <c r="A59" s="1">
        <f t="shared" si="0"/>
        <v>57</v>
      </c>
      <c r="B59" s="2" t="str">
        <f>DEC2HEX('Memory  Map'!$B$6 +( Sensor!A59 * 4))</f>
        <v>3FB84</v>
      </c>
      <c r="C59" t="s">
        <v>119</v>
      </c>
      <c r="D59" s="93">
        <v>4294967295</v>
      </c>
      <c r="G59" s="2"/>
    </row>
    <row r="60" spans="1:8" x14ac:dyDescent="0.25">
      <c r="A60" s="1">
        <f t="shared" si="0"/>
        <v>58</v>
      </c>
      <c r="B60" s="2" t="str">
        <f>DEC2HEX('Memory  Map'!$B$6 +( Sensor!A60 * 4))</f>
        <v>3FB88</v>
      </c>
      <c r="C60" s="96" t="s">
        <v>119</v>
      </c>
      <c r="D60" s="93">
        <v>4294967295</v>
      </c>
      <c r="E60" s="64"/>
      <c r="F60" s="64"/>
      <c r="G60" s="64"/>
      <c r="H60" s="95"/>
    </row>
    <row r="61" spans="1:8" x14ac:dyDescent="0.25">
      <c r="A61" s="1">
        <f t="shared" si="0"/>
        <v>59</v>
      </c>
      <c r="B61" s="2" t="str">
        <f>DEC2HEX('Memory  Map'!$B$6 +( Sensor!A61 * 4))</f>
        <v>3FB8C</v>
      </c>
      <c r="C61" t="s">
        <v>119</v>
      </c>
      <c r="D61" s="93">
        <v>4294967295</v>
      </c>
      <c r="G61" s="2"/>
    </row>
    <row r="62" spans="1:8" x14ac:dyDescent="0.25">
      <c r="A62" s="1">
        <f t="shared" si="0"/>
        <v>60</v>
      </c>
      <c r="B62" s="2" t="str">
        <f>DEC2HEX('Memory  Map'!$B$6 +( Sensor!A62 * 4))</f>
        <v>3FB90</v>
      </c>
      <c r="C62" s="96" t="s">
        <v>119</v>
      </c>
      <c r="D62" s="93">
        <v>4294967295</v>
      </c>
      <c r="E62" s="64"/>
      <c r="F62" s="64"/>
      <c r="G62" s="64"/>
      <c r="H62" s="95"/>
    </row>
    <row r="63" spans="1:8" x14ac:dyDescent="0.25">
      <c r="A63" s="1">
        <f t="shared" si="0"/>
        <v>61</v>
      </c>
      <c r="B63" s="2" t="str">
        <f>DEC2HEX('Memory  Map'!$B$6 +( Sensor!A63 * 4))</f>
        <v>3FB94</v>
      </c>
      <c r="C63" t="s">
        <v>119</v>
      </c>
      <c r="D63" s="93">
        <v>4294967295</v>
      </c>
      <c r="G63" s="2"/>
    </row>
    <row r="64" spans="1:8" x14ac:dyDescent="0.25">
      <c r="A64" s="1">
        <f t="shared" si="0"/>
        <v>62</v>
      </c>
      <c r="B64" s="2" t="str">
        <f>DEC2HEX('Memory  Map'!$B$6 +( Sensor!A64 * 4))</f>
        <v>3FB98</v>
      </c>
      <c r="C64" s="96" t="s">
        <v>119</v>
      </c>
      <c r="D64" s="93">
        <v>4294967295</v>
      </c>
      <c r="E64" s="64"/>
      <c r="F64" s="64"/>
      <c r="G64" s="64"/>
      <c r="H64" s="95"/>
    </row>
    <row r="65" spans="1:7" x14ac:dyDescent="0.25">
      <c r="A65" s="1">
        <f t="shared" si="0"/>
        <v>63</v>
      </c>
      <c r="B65" s="2" t="str">
        <f>DEC2HEX('Memory  Map'!$B$6 +( Sensor!A65 * 4))</f>
        <v>3FB9C</v>
      </c>
      <c r="C65" t="s">
        <v>119</v>
      </c>
      <c r="D65" s="93">
        <v>4294967295</v>
      </c>
      <c r="G65" s="2"/>
    </row>
  </sheetData>
  <dataValidations xWindow="562" yWindow="539" count="6">
    <dataValidation type="list" showInputMessage="1" showErrorMessage="1" prompt=" 1 = HALL_EFFECT_x000a_ 2 = QUAD_ENCODER_x000a_ 3 = NO_SENSOR_x000a_ 4 = MA__MAGNETIC_x000a_ 5 = CAM_INDUCTIVE " sqref="D11:D13" xr:uid="{AC5AB2C9-9430-4FCF-A555-13B0F2256EB7}">
      <formula1>"1,2,3,4,5"</formula1>
    </dataValidation>
    <dataValidation type="textLength" allowBlank="1" showInputMessage="1" showErrorMessage="1" sqref="D2:D10" xr:uid="{4932A580-556A-4434-AD39-11B4A75F0EFC}">
      <formula1>0</formula1>
      <formula2>4</formula2>
    </dataValidation>
    <dataValidation type="list" showInputMessage="1" showErrorMessage="1" sqref="D14:D17 D19:D20" xr:uid="{B7889BB9-968A-42DC-A4F5-B335013B14C2}">
      <formula1>"0,1"</formula1>
    </dataValidation>
    <dataValidation type="whole" showInputMessage="1" showErrorMessage="1" sqref="D18" xr:uid="{1ACCDAD1-BEAC-4E1A-A41D-B50A61D5E441}">
      <formula1>0</formula1>
      <formula2>128000</formula2>
    </dataValidation>
    <dataValidation type="whole" showInputMessage="1" showErrorMessage="1" sqref="D21" xr:uid="{65754570-D999-4306-839E-28B16A524905}">
      <formula1>0</formula1>
      <formula2>20000</formula2>
    </dataValidation>
    <dataValidation type="list" allowBlank="1" showInputMessage="1" showErrorMessage="1" sqref="D22" xr:uid="{6257D384-AB43-4AF4-AAB5-46A911CB002E}">
      <formula1>"0,1"</formula1>
    </dataValidation>
  </dataValidations>
  <pageMargins left="0.7" right="0.7" top="0.75" bottom="0.75" header="0.3" footer="0.3"/>
  <pageSetup paperSize="3"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J129"/>
  <sheetViews>
    <sheetView tabSelected="1" workbookViewId="0">
      <pane ySplit="1" topLeftCell="A28" activePane="bottomLeft" state="frozen"/>
      <selection pane="bottomLeft" activeCell="L37" sqref="L37"/>
    </sheetView>
  </sheetViews>
  <sheetFormatPr defaultRowHeight="15" x14ac:dyDescent="0.25"/>
  <cols>
    <col min="1" max="1" width="5.85546875" style="2" customWidth="1"/>
    <col min="2" max="2" width="16.28515625" style="2" customWidth="1"/>
    <col min="3" max="3" width="45.140625" style="8" customWidth="1"/>
    <col min="4" max="4" width="11.28515625" style="6" customWidth="1"/>
    <col min="5" max="5" width="10.42578125" style="2" hidden="1" customWidth="1"/>
    <col min="6" max="6" width="0.140625" style="2" hidden="1" customWidth="1"/>
    <col min="7" max="7" width="21.42578125" style="2" hidden="1" customWidth="1"/>
    <col min="8" max="8" width="57" style="2" customWidth="1"/>
    <col min="9" max="9" width="24.7109375" style="7" hidden="1" customWidth="1"/>
    <col min="10" max="10" width="8.5703125" style="7" customWidth="1"/>
  </cols>
  <sheetData>
    <row r="1" spans="1:9" ht="15.75" thickBot="1" x14ac:dyDescent="0.3">
      <c r="A1" s="132" t="s">
        <v>106</v>
      </c>
      <c r="B1" s="132" t="s">
        <v>103</v>
      </c>
      <c r="C1" s="133" t="s">
        <v>66</v>
      </c>
      <c r="D1" s="120" t="s">
        <v>92</v>
      </c>
      <c r="E1" s="132" t="s">
        <v>0</v>
      </c>
      <c r="F1" s="132" t="s">
        <v>1</v>
      </c>
      <c r="G1" s="132" t="s">
        <v>51</v>
      </c>
      <c r="H1" s="132" t="s">
        <v>98</v>
      </c>
      <c r="I1" s="8" t="s">
        <v>99</v>
      </c>
    </row>
    <row r="2" spans="1:9" ht="15.75" customHeight="1" x14ac:dyDescent="0.25">
      <c r="A2" s="59">
        <v>0</v>
      </c>
      <c r="B2" s="59" t="str">
        <f>DEC2HEX('Memory  Map'!$B$4 + (A2*4))</f>
        <v>3F840</v>
      </c>
      <c r="C2" s="127" t="s">
        <v>125</v>
      </c>
      <c r="D2" s="131" t="s">
        <v>179</v>
      </c>
      <c r="E2" s="59">
        <v>0</v>
      </c>
      <c r="F2" s="59">
        <v>2147483647</v>
      </c>
      <c r="G2" s="59" t="s">
        <v>77</v>
      </c>
      <c r="H2" s="59" t="s">
        <v>157</v>
      </c>
      <c r="I2" s="118"/>
    </row>
    <row r="3" spans="1:9" x14ac:dyDescent="0.25">
      <c r="A3" s="18">
        <f>A2+1</f>
        <v>1</v>
      </c>
      <c r="B3" s="130" t="str">
        <f>DEC2HEX('Memory  Map'!$B$4 + (A3*4))</f>
        <v>3F844</v>
      </c>
      <c r="C3" s="122" t="s">
        <v>76</v>
      </c>
      <c r="D3" s="110" t="s">
        <v>180</v>
      </c>
      <c r="E3" s="18">
        <v>0</v>
      </c>
      <c r="F3" s="18">
        <v>4294967296</v>
      </c>
      <c r="G3" s="18" t="s">
        <v>77</v>
      </c>
      <c r="H3" s="18"/>
      <c r="I3" s="7" t="s">
        <v>80</v>
      </c>
    </row>
    <row r="4" spans="1:9" x14ac:dyDescent="0.25">
      <c r="A4" s="60">
        <f t="shared" ref="A4:A59" si="0">A3+1</f>
        <v>2</v>
      </c>
      <c r="B4" s="60" t="str">
        <f>DEC2HEX('Memory  Map'!$B$4 + (A4*4))</f>
        <v>3F848</v>
      </c>
      <c r="C4" s="121" t="s">
        <v>126</v>
      </c>
      <c r="D4" s="110" t="s">
        <v>181</v>
      </c>
      <c r="E4" s="60">
        <v>0</v>
      </c>
      <c r="F4" s="60">
        <v>4294967296</v>
      </c>
      <c r="G4" s="60" t="s">
        <v>77</v>
      </c>
      <c r="H4" s="60"/>
      <c r="I4" s="118"/>
    </row>
    <row r="5" spans="1:9" x14ac:dyDescent="0.25">
      <c r="A5" s="18">
        <f t="shared" si="0"/>
        <v>3</v>
      </c>
      <c r="B5" s="18" t="str">
        <f>DEC2HEX('Memory  Map'!$B$4 + (A5*4))</f>
        <v>3F84C</v>
      </c>
      <c r="C5" s="122" t="s">
        <v>134</v>
      </c>
      <c r="D5" s="93">
        <v>4</v>
      </c>
      <c r="E5" s="18">
        <v>3</v>
      </c>
      <c r="F5" s="18">
        <v>4</v>
      </c>
      <c r="G5" s="18" t="s">
        <v>91</v>
      </c>
      <c r="H5" s="18"/>
      <c r="I5" s="7" t="s">
        <v>71</v>
      </c>
    </row>
    <row r="6" spans="1:9" x14ac:dyDescent="0.25">
      <c r="A6" s="60">
        <f t="shared" si="0"/>
        <v>4</v>
      </c>
      <c r="B6" s="60" t="str">
        <f>DEC2HEX('Memory  Map'!$B$4 + (A6*4))</f>
        <v>3F850</v>
      </c>
      <c r="C6" s="121" t="s">
        <v>161</v>
      </c>
      <c r="D6" s="93">
        <v>70</v>
      </c>
      <c r="E6" s="60">
        <v>1</v>
      </c>
      <c r="F6" s="60">
        <v>255</v>
      </c>
      <c r="G6" s="60" t="s">
        <v>91</v>
      </c>
      <c r="H6" s="60"/>
      <c r="I6" s="118"/>
    </row>
    <row r="7" spans="1:9" x14ac:dyDescent="0.25">
      <c r="A7" s="18">
        <f t="shared" si="0"/>
        <v>5</v>
      </c>
      <c r="B7" s="18" t="str">
        <f>DEC2HEX('Memory  Map'!$B$4 + (A7*4))</f>
        <v>3F854</v>
      </c>
      <c r="C7" s="122" t="s">
        <v>160</v>
      </c>
      <c r="D7" s="93">
        <v>10000</v>
      </c>
      <c r="E7" s="18">
        <v>1</v>
      </c>
      <c r="F7" s="18">
        <v>2147483648</v>
      </c>
      <c r="G7" s="18" t="s">
        <v>91</v>
      </c>
      <c r="H7" s="18"/>
    </row>
    <row r="8" spans="1:9" ht="15.75" thickBot="1" x14ac:dyDescent="0.3">
      <c r="A8" s="87">
        <f t="shared" si="0"/>
        <v>6</v>
      </c>
      <c r="B8" s="87" t="str">
        <f>DEC2HEX('Memory  Map'!$B$4 + (A8*4))</f>
        <v>3F858</v>
      </c>
      <c r="C8" s="126" t="s">
        <v>159</v>
      </c>
      <c r="D8" s="120">
        <v>7000</v>
      </c>
      <c r="E8" s="87">
        <v>0</v>
      </c>
      <c r="F8" s="87">
        <v>2147483648</v>
      </c>
      <c r="G8" s="87" t="s">
        <v>48</v>
      </c>
      <c r="H8" s="87"/>
      <c r="I8" s="118"/>
    </row>
    <row r="9" spans="1:9" x14ac:dyDescent="0.25">
      <c r="A9" s="40">
        <f t="shared" si="0"/>
        <v>7</v>
      </c>
      <c r="B9" s="40" t="str">
        <f>DEC2HEX('Memory  Map'!$B$4 + (A9*4))</f>
        <v>3F85C</v>
      </c>
      <c r="C9" s="125" t="s">
        <v>38</v>
      </c>
      <c r="D9" s="134">
        <v>0</v>
      </c>
      <c r="E9" s="40">
        <v>0</v>
      </c>
      <c r="F9" s="40">
        <v>1</v>
      </c>
      <c r="G9" s="40" t="s">
        <v>50</v>
      </c>
      <c r="H9" s="40" t="s">
        <v>158</v>
      </c>
    </row>
    <row r="10" spans="1:9" x14ac:dyDescent="0.25">
      <c r="A10" s="60">
        <f t="shared" si="0"/>
        <v>8</v>
      </c>
      <c r="B10" s="60" t="str">
        <f>DEC2HEX('Memory  Map'!$B$4 + (A10*4))</f>
        <v>3F860</v>
      </c>
      <c r="C10" s="123" t="s">
        <v>135</v>
      </c>
      <c r="D10" s="140">
        <v>3</v>
      </c>
      <c r="E10" s="60"/>
      <c r="F10" s="60"/>
      <c r="G10" s="60"/>
      <c r="H10" s="60"/>
    </row>
    <row r="11" spans="1:9" x14ac:dyDescent="0.25">
      <c r="A11" s="18">
        <f t="shared" si="0"/>
        <v>9</v>
      </c>
      <c r="B11" s="18" t="str">
        <f>DEC2HEX('Memory  Map'!$B$4 + (A11*4))</f>
        <v>3F864</v>
      </c>
      <c r="C11" s="124" t="s">
        <v>146</v>
      </c>
      <c r="D11" s="135">
        <v>0</v>
      </c>
      <c r="E11" s="18"/>
      <c r="F11" s="18"/>
      <c r="G11" s="18"/>
      <c r="H11" s="18"/>
    </row>
    <row r="12" spans="1:9" x14ac:dyDescent="0.25">
      <c r="A12" s="60">
        <f t="shared" si="0"/>
        <v>10</v>
      </c>
      <c r="B12" s="60" t="str">
        <f>DEC2HEX('Memory  Map'!$B$4 + (A12*4))</f>
        <v>3F868</v>
      </c>
      <c r="C12" s="127" t="s">
        <v>19</v>
      </c>
      <c r="D12" s="134">
        <v>2</v>
      </c>
      <c r="E12" s="59">
        <v>0</v>
      </c>
      <c r="F12" s="59">
        <v>6</v>
      </c>
      <c r="G12" s="59" t="s">
        <v>48</v>
      </c>
      <c r="H12" s="59"/>
      <c r="I12" s="118" t="s">
        <v>72</v>
      </c>
    </row>
    <row r="13" spans="1:9" ht="15.75" thickBot="1" x14ac:dyDescent="0.3">
      <c r="A13" s="106">
        <f t="shared" si="0"/>
        <v>11</v>
      </c>
      <c r="B13" s="106" t="str">
        <f>DEC2HEX('Memory  Map'!$B$4 + (A13*4))</f>
        <v>3F86C</v>
      </c>
      <c r="C13" s="128" t="s">
        <v>21</v>
      </c>
      <c r="D13" s="136">
        <v>1</v>
      </c>
      <c r="E13" s="106">
        <v>0</v>
      </c>
      <c r="F13" s="106">
        <v>5</v>
      </c>
      <c r="G13" s="106" t="s">
        <v>48</v>
      </c>
      <c r="H13" s="106"/>
      <c r="I13" s="118" t="s">
        <v>73</v>
      </c>
    </row>
    <row r="14" spans="1:9" x14ac:dyDescent="0.25">
      <c r="A14" s="59">
        <f t="shared" si="0"/>
        <v>12</v>
      </c>
      <c r="B14" s="59" t="str">
        <f>DEC2HEX('Memory  Map'!$B$4 + (A14*4))</f>
        <v>3F870</v>
      </c>
      <c r="C14" s="127" t="s">
        <v>8</v>
      </c>
      <c r="D14" s="137">
        <v>0</v>
      </c>
      <c r="E14" s="59">
        <v>0</v>
      </c>
      <c r="F14" s="59">
        <v>5</v>
      </c>
      <c r="G14" s="59" t="s">
        <v>48</v>
      </c>
      <c r="H14" s="59" t="s">
        <v>156</v>
      </c>
    </row>
    <row r="15" spans="1:9" x14ac:dyDescent="0.25">
      <c r="A15" s="18">
        <f t="shared" si="0"/>
        <v>13</v>
      </c>
      <c r="B15" s="18" t="str">
        <f>DEC2HEX('Memory  Map'!$B$4 + (A15*4))</f>
        <v>3F874</v>
      </c>
      <c r="C15" s="122" t="s">
        <v>9</v>
      </c>
      <c r="D15" s="138">
        <v>1</v>
      </c>
      <c r="E15" s="18">
        <v>0</v>
      </c>
      <c r="F15" s="18">
        <v>4</v>
      </c>
      <c r="G15" s="18" t="s">
        <v>48</v>
      </c>
      <c r="H15" s="18"/>
      <c r="I15" s="118"/>
    </row>
    <row r="16" spans="1:9" x14ac:dyDescent="0.25">
      <c r="A16" s="60">
        <f t="shared" si="0"/>
        <v>14</v>
      </c>
      <c r="B16" s="60" t="str">
        <f>DEC2HEX('Memory  Map'!$B$4 + (A16*4))</f>
        <v>3F878</v>
      </c>
      <c r="C16" s="121" t="s">
        <v>10</v>
      </c>
      <c r="D16" s="138">
        <v>1</v>
      </c>
      <c r="E16" s="60">
        <v>0</v>
      </c>
      <c r="F16" s="60">
        <v>4</v>
      </c>
      <c r="G16" s="60" t="s">
        <v>48</v>
      </c>
      <c r="H16" s="60"/>
    </row>
    <row r="17" spans="1:9" x14ac:dyDescent="0.25">
      <c r="A17" s="18">
        <f t="shared" si="0"/>
        <v>15</v>
      </c>
      <c r="B17" s="18" t="str">
        <f>DEC2HEX('Memory  Map'!$B$4 + (A17*4))</f>
        <v>3F87C</v>
      </c>
      <c r="C17" s="122" t="s">
        <v>11</v>
      </c>
      <c r="D17" s="138">
        <v>1</v>
      </c>
      <c r="E17" s="18">
        <v>0</v>
      </c>
      <c r="F17" s="18">
        <v>4</v>
      </c>
      <c r="G17" s="18" t="s">
        <v>48</v>
      </c>
      <c r="H17" s="18"/>
      <c r="I17" s="118"/>
    </row>
    <row r="18" spans="1:9" x14ac:dyDescent="0.25">
      <c r="A18" s="60">
        <f t="shared" si="0"/>
        <v>16</v>
      </c>
      <c r="B18" s="60" t="str">
        <f>DEC2HEX('Memory  Map'!$B$4 + (A18*4))</f>
        <v>3F880</v>
      </c>
      <c r="C18" s="121" t="s">
        <v>12</v>
      </c>
      <c r="D18" s="138">
        <v>1</v>
      </c>
      <c r="E18" s="60">
        <v>0</v>
      </c>
      <c r="F18" s="60">
        <v>4</v>
      </c>
      <c r="G18" s="60" t="s">
        <v>48</v>
      </c>
      <c r="H18" s="60"/>
    </row>
    <row r="19" spans="1:9" x14ac:dyDescent="0.25">
      <c r="A19" s="18">
        <f t="shared" si="0"/>
        <v>17</v>
      </c>
      <c r="B19" s="18" t="str">
        <f>DEC2HEX('Memory  Map'!$B$4 + (A19*4))</f>
        <v>3F884</v>
      </c>
      <c r="C19" s="122" t="s">
        <v>13</v>
      </c>
      <c r="D19" s="138">
        <v>1</v>
      </c>
      <c r="E19" s="18">
        <v>0</v>
      </c>
      <c r="F19" s="18">
        <v>4</v>
      </c>
      <c r="G19" s="18" t="s">
        <v>48</v>
      </c>
      <c r="H19" s="18"/>
      <c r="I19" s="118"/>
    </row>
    <row r="20" spans="1:9" x14ac:dyDescent="0.25">
      <c r="A20" s="60">
        <f t="shared" si="0"/>
        <v>18</v>
      </c>
      <c r="B20" s="60" t="str">
        <f>DEC2HEX('Memory  Map'!$B$4 + (A20*4))</f>
        <v>3F888</v>
      </c>
      <c r="C20" s="121" t="s">
        <v>14</v>
      </c>
      <c r="D20" s="138">
        <v>1</v>
      </c>
      <c r="E20" s="60">
        <v>0</v>
      </c>
      <c r="F20" s="60">
        <v>4</v>
      </c>
      <c r="G20" s="60" t="s">
        <v>48</v>
      </c>
      <c r="H20" s="60"/>
      <c r="I20" s="118"/>
    </row>
    <row r="21" spans="1:9" x14ac:dyDescent="0.25">
      <c r="A21" s="18">
        <f t="shared" si="0"/>
        <v>19</v>
      </c>
      <c r="B21" s="18" t="str">
        <f>DEC2HEX('Memory  Map'!$B$4 + (A21*4))</f>
        <v>3F88C</v>
      </c>
      <c r="C21" s="124" t="s">
        <v>149</v>
      </c>
      <c r="D21" s="138">
        <v>1</v>
      </c>
      <c r="E21" s="18"/>
      <c r="F21" s="18"/>
      <c r="G21" s="18"/>
      <c r="H21" s="18"/>
    </row>
    <row r="22" spans="1:9" ht="15.75" thickBot="1" x14ac:dyDescent="0.3">
      <c r="A22" s="87">
        <f t="shared" si="0"/>
        <v>20</v>
      </c>
      <c r="B22" s="87" t="str">
        <f>DEC2HEX('Memory  Map'!$B$4 + (A22*4))</f>
        <v>3F890</v>
      </c>
      <c r="C22" s="129" t="s">
        <v>148</v>
      </c>
      <c r="D22" s="139">
        <v>1</v>
      </c>
      <c r="E22" s="87"/>
      <c r="F22" s="87"/>
      <c r="G22" s="87"/>
      <c r="H22" s="87"/>
    </row>
    <row r="23" spans="1:9" x14ac:dyDescent="0.25">
      <c r="A23" s="40">
        <f t="shared" si="0"/>
        <v>21</v>
      </c>
      <c r="B23" s="40" t="str">
        <f>DEC2HEX('Memory  Map'!$B$4 + (A23*4))</f>
        <v>3F894</v>
      </c>
      <c r="C23" s="125" t="s">
        <v>54</v>
      </c>
      <c r="D23" s="119">
        <v>0</v>
      </c>
      <c r="E23" s="40">
        <v>0</v>
      </c>
      <c r="F23" s="40">
        <v>2147483648</v>
      </c>
      <c r="G23" s="40" t="s">
        <v>91</v>
      </c>
      <c r="H23" s="40" t="s">
        <v>162</v>
      </c>
      <c r="I23" s="118"/>
    </row>
    <row r="24" spans="1:9" x14ac:dyDescent="0.25">
      <c r="A24" s="60">
        <f t="shared" si="0"/>
        <v>22</v>
      </c>
      <c r="B24" s="60" t="str">
        <f>DEC2HEX('Memory  Map'!$B$4 + (A24*4))</f>
        <v>3F898</v>
      </c>
      <c r="C24" s="121" t="s">
        <v>15</v>
      </c>
      <c r="D24" s="93">
        <f>Motor!D10</f>
        <v>1400</v>
      </c>
      <c r="E24" s="60">
        <v>0</v>
      </c>
      <c r="F24" s="60">
        <v>2147483648</v>
      </c>
      <c r="G24" s="60" t="s">
        <v>91</v>
      </c>
      <c r="H24" s="60"/>
    </row>
    <row r="25" spans="1:9" x14ac:dyDescent="0.25">
      <c r="A25" s="18">
        <f t="shared" si="0"/>
        <v>23</v>
      </c>
      <c r="B25" s="18" t="str">
        <f>DEC2HEX('Memory  Map'!$B$4 + (A25*4))</f>
        <v>3F89C</v>
      </c>
      <c r="C25" s="122" t="s">
        <v>55</v>
      </c>
      <c r="D25" s="93">
        <f>-Motor!D12</f>
        <v>-6000</v>
      </c>
      <c r="E25" s="18">
        <v>0</v>
      </c>
      <c r="F25" s="18">
        <v>2147483648</v>
      </c>
      <c r="G25" s="18" t="s">
        <v>91</v>
      </c>
      <c r="H25" s="18"/>
      <c r="I25" s="118"/>
    </row>
    <row r="26" spans="1:9" x14ac:dyDescent="0.25">
      <c r="A26" s="60">
        <f t="shared" si="0"/>
        <v>24</v>
      </c>
      <c r="B26" s="60" t="str">
        <f>DEC2HEX('Memory  Map'!$B$4 + (A26*4))</f>
        <v>3F8A0</v>
      </c>
      <c r="C26" s="121" t="s">
        <v>56</v>
      </c>
      <c r="D26" s="93">
        <f>Motor!D12</f>
        <v>6000</v>
      </c>
      <c r="E26" s="60">
        <v>0</v>
      </c>
      <c r="F26" s="60">
        <v>2147483648</v>
      </c>
      <c r="G26" s="60" t="s">
        <v>91</v>
      </c>
      <c r="H26" s="60"/>
    </row>
    <row r="27" spans="1:9" x14ac:dyDescent="0.25">
      <c r="A27" s="18">
        <f t="shared" si="0"/>
        <v>25</v>
      </c>
      <c r="B27" s="18" t="str">
        <f>DEC2HEX('Memory  Map'!$B$4 + (A27*4))</f>
        <v>3F8A4</v>
      </c>
      <c r="C27" s="122" t="s">
        <v>16</v>
      </c>
      <c r="D27" s="93">
        <f>-Motor!D11</f>
        <v>-4200</v>
      </c>
      <c r="E27" s="18">
        <v>0</v>
      </c>
      <c r="F27" s="18">
        <v>2147483648</v>
      </c>
      <c r="G27" s="18" t="s">
        <v>91</v>
      </c>
      <c r="H27" s="18"/>
      <c r="I27" s="118"/>
    </row>
    <row r="28" spans="1:9" x14ac:dyDescent="0.25">
      <c r="A28" s="60">
        <f t="shared" si="0"/>
        <v>26</v>
      </c>
      <c r="B28" s="60" t="str">
        <f>DEC2HEX('Memory  Map'!$B$4 + (A28*4))</f>
        <v>3F8A8</v>
      </c>
      <c r="C28" s="121" t="s">
        <v>17</v>
      </c>
      <c r="D28" s="93">
        <f>Motor!D11</f>
        <v>4200</v>
      </c>
      <c r="E28" s="60">
        <v>0</v>
      </c>
      <c r="F28" s="60">
        <v>2147483647</v>
      </c>
      <c r="G28" s="60" t="s">
        <v>91</v>
      </c>
      <c r="H28" s="60"/>
    </row>
    <row r="29" spans="1:9" x14ac:dyDescent="0.25">
      <c r="A29" s="18">
        <f t="shared" si="0"/>
        <v>27</v>
      </c>
      <c r="B29" s="18" t="str">
        <f>DEC2HEX('Memory  Map'!$B$4 + (A29*4))</f>
        <v>3F8AC</v>
      </c>
      <c r="C29" s="125" t="s">
        <v>30</v>
      </c>
      <c r="D29" s="119">
        <v>1</v>
      </c>
      <c r="E29" s="40">
        <v>0</v>
      </c>
      <c r="F29" s="40">
        <v>1</v>
      </c>
      <c r="G29" s="40" t="s">
        <v>50</v>
      </c>
      <c r="H29" s="40"/>
    </row>
    <row r="30" spans="1:9" ht="15.75" thickBot="1" x14ac:dyDescent="0.3">
      <c r="A30" s="87">
        <f t="shared" si="0"/>
        <v>28</v>
      </c>
      <c r="B30" s="87" t="str">
        <f>DEC2HEX('Memory  Map'!$B$4 + (A30*4))</f>
        <v>3F8B0</v>
      </c>
      <c r="C30" s="129" t="s">
        <v>18</v>
      </c>
      <c r="D30" s="120">
        <v>1</v>
      </c>
      <c r="E30" s="87">
        <v>0</v>
      </c>
      <c r="F30" s="87">
        <v>1</v>
      </c>
      <c r="G30" s="87" t="s">
        <v>50</v>
      </c>
      <c r="H30" s="141"/>
    </row>
    <row r="31" spans="1:9" x14ac:dyDescent="0.25">
      <c r="A31" s="40">
        <f t="shared" si="0"/>
        <v>29</v>
      </c>
      <c r="B31" s="40" t="str">
        <f>DEC2HEX('Memory  Map'!$B$4 + (A31*4))</f>
        <v>3F8B4</v>
      </c>
      <c r="C31" s="125" t="s">
        <v>20</v>
      </c>
      <c r="D31" s="134">
        <v>1</v>
      </c>
      <c r="E31" s="40">
        <v>0</v>
      </c>
      <c r="F31" s="40">
        <v>0</v>
      </c>
      <c r="G31" s="40" t="s">
        <v>50</v>
      </c>
      <c r="H31" s="40" t="s">
        <v>163</v>
      </c>
    </row>
    <row r="32" spans="1:9" x14ac:dyDescent="0.25">
      <c r="A32" s="60">
        <f t="shared" si="0"/>
        <v>30</v>
      </c>
      <c r="B32" s="60" t="str">
        <f>DEC2HEX('Memory  Map'!$B$4 + (A32*4))</f>
        <v>3F8B8</v>
      </c>
      <c r="C32" s="123" t="s">
        <v>22</v>
      </c>
      <c r="D32" s="135">
        <v>100</v>
      </c>
      <c r="E32" s="60">
        <v>0</v>
      </c>
      <c r="F32" s="60">
        <v>2147483647</v>
      </c>
      <c r="G32" s="60" t="s">
        <v>91</v>
      </c>
      <c r="H32" s="60"/>
      <c r="I32" s="118"/>
    </row>
    <row r="33" spans="1:9" x14ac:dyDescent="0.25">
      <c r="A33" s="18">
        <f t="shared" si="0"/>
        <v>31</v>
      </c>
      <c r="B33" s="18" t="str">
        <f>DEC2HEX('Memory  Map'!$B$4 + (A33*4))</f>
        <v>3F8BC</v>
      </c>
      <c r="C33" s="124" t="s">
        <v>23</v>
      </c>
      <c r="D33" s="135">
        <v>2000</v>
      </c>
      <c r="E33" s="18">
        <v>0</v>
      </c>
      <c r="F33" s="18">
        <v>2147483647</v>
      </c>
      <c r="G33" s="18" t="s">
        <v>91</v>
      </c>
      <c r="H33" s="18"/>
    </row>
    <row r="34" spans="1:9" ht="17.25" customHeight="1" x14ac:dyDescent="0.25">
      <c r="A34" s="60">
        <f t="shared" si="0"/>
        <v>32</v>
      </c>
      <c r="B34" s="60" t="str">
        <f>DEC2HEX('Memory  Map'!$B$4 + (A34*4))</f>
        <v>3F8C0</v>
      </c>
      <c r="C34" s="123" t="s">
        <v>24</v>
      </c>
      <c r="D34" s="135">
        <v>0</v>
      </c>
      <c r="E34" s="60">
        <v>0</v>
      </c>
      <c r="F34" s="60">
        <v>2147483647</v>
      </c>
      <c r="G34" s="60" t="s">
        <v>91</v>
      </c>
      <c r="H34" s="60"/>
      <c r="I34" s="118"/>
    </row>
    <row r="35" spans="1:9" ht="15" customHeight="1" x14ac:dyDescent="0.25">
      <c r="A35" s="18">
        <f t="shared" si="0"/>
        <v>33</v>
      </c>
      <c r="B35" s="18" t="str">
        <f>DEC2HEX('Memory  Map'!$B$4 + (A35*4))</f>
        <v>3F8C4</v>
      </c>
      <c r="C35" s="124" t="s">
        <v>25</v>
      </c>
      <c r="D35" s="135">
        <v>0</v>
      </c>
      <c r="E35" s="18">
        <v>0</v>
      </c>
      <c r="F35" s="18">
        <v>2147483647</v>
      </c>
      <c r="G35" s="18" t="s">
        <v>91</v>
      </c>
      <c r="H35" s="18"/>
    </row>
    <row r="36" spans="1:9" x14ac:dyDescent="0.25">
      <c r="A36" s="60">
        <f t="shared" si="0"/>
        <v>34</v>
      </c>
      <c r="B36" s="60" t="str">
        <f>DEC2HEX('Memory  Map'!$B$4 + (A36*4))</f>
        <v>3F8C8</v>
      </c>
      <c r="C36" s="123" t="s">
        <v>168</v>
      </c>
      <c r="D36" s="135">
        <f>Motor!D11</f>
        <v>4200</v>
      </c>
      <c r="E36" s="60">
        <v>0</v>
      </c>
      <c r="F36" s="60">
        <v>2147483647</v>
      </c>
      <c r="G36" s="60" t="s">
        <v>91</v>
      </c>
      <c r="H36" s="60"/>
      <c r="I36" s="118"/>
    </row>
    <row r="37" spans="1:9" x14ac:dyDescent="0.25">
      <c r="A37" s="18">
        <f t="shared" si="0"/>
        <v>35</v>
      </c>
      <c r="B37" s="18" t="str">
        <f>DEC2HEX('Memory  Map'!$B$4 + (A37*4))</f>
        <v>3F8CC</v>
      </c>
      <c r="C37" s="124" t="s">
        <v>169</v>
      </c>
      <c r="D37" s="135">
        <f>-Motor!D11</f>
        <v>-4200</v>
      </c>
      <c r="E37" s="18">
        <v>0</v>
      </c>
      <c r="F37" s="18">
        <v>2147483647</v>
      </c>
      <c r="G37" s="18" t="s">
        <v>91</v>
      </c>
      <c r="H37" s="18"/>
    </row>
    <row r="38" spans="1:9" x14ac:dyDescent="0.25">
      <c r="A38" s="60">
        <f t="shared" si="0"/>
        <v>36</v>
      </c>
      <c r="B38" s="60" t="str">
        <f>DEC2HEX('Memory  Map'!$B$4 + (A38*4))</f>
        <v>3F8D0</v>
      </c>
      <c r="C38" s="123" t="s">
        <v>26</v>
      </c>
      <c r="D38" s="135">
        <v>500</v>
      </c>
      <c r="E38" s="60">
        <v>0</v>
      </c>
      <c r="F38" s="60">
        <v>2147483647</v>
      </c>
      <c r="G38" s="60" t="s">
        <v>91</v>
      </c>
      <c r="H38" s="60"/>
      <c r="I38" s="118"/>
    </row>
    <row r="39" spans="1:9" x14ac:dyDescent="0.25">
      <c r="A39" s="18">
        <f t="shared" si="0"/>
        <v>37</v>
      </c>
      <c r="B39" s="18" t="str">
        <f>DEC2HEX('Memory  Map'!$B$4 + (A39*4))</f>
        <v>3F8D4</v>
      </c>
      <c r="C39" s="124" t="s">
        <v>27</v>
      </c>
      <c r="D39" s="135">
        <v>0</v>
      </c>
      <c r="E39" s="18">
        <v>0</v>
      </c>
      <c r="F39" s="18">
        <v>2147483647</v>
      </c>
      <c r="G39" s="18" t="s">
        <v>91</v>
      </c>
      <c r="H39" s="18"/>
    </row>
    <row r="40" spans="1:9" ht="17.25" customHeight="1" x14ac:dyDescent="0.25">
      <c r="A40" s="60">
        <f t="shared" si="0"/>
        <v>38</v>
      </c>
      <c r="B40" s="60" t="str">
        <f>DEC2HEX('Memory  Map'!$B$4 + (A40*4))</f>
        <v>3F8D8</v>
      </c>
      <c r="C40" s="123" t="s">
        <v>28</v>
      </c>
      <c r="D40" s="135">
        <v>2000</v>
      </c>
      <c r="E40" s="60">
        <v>0</v>
      </c>
      <c r="F40" s="60">
        <v>2147483647</v>
      </c>
      <c r="G40" s="60" t="s">
        <v>91</v>
      </c>
      <c r="H40" s="60"/>
      <c r="I40" s="118"/>
    </row>
    <row r="41" spans="1:9" ht="15" customHeight="1" x14ac:dyDescent="0.25">
      <c r="A41" s="18">
        <f t="shared" si="0"/>
        <v>39</v>
      </c>
      <c r="B41" s="18" t="str">
        <f>DEC2HEX('Memory  Map'!$B$4 + (A41*4))</f>
        <v>3F8DC</v>
      </c>
      <c r="C41" s="124" t="s">
        <v>29</v>
      </c>
      <c r="D41" s="135">
        <v>100</v>
      </c>
      <c r="E41" s="18">
        <v>0</v>
      </c>
      <c r="F41" s="18">
        <v>2147483647</v>
      </c>
      <c r="G41" s="18" t="s">
        <v>91</v>
      </c>
      <c r="H41" s="18"/>
    </row>
    <row r="42" spans="1:9" x14ac:dyDescent="0.25">
      <c r="A42" s="60">
        <f t="shared" si="0"/>
        <v>40</v>
      </c>
      <c r="B42" s="60" t="str">
        <f>DEC2HEX('Memory  Map'!$B$4 + (A42*4))</f>
        <v>3F8E0</v>
      </c>
      <c r="C42" s="123" t="s">
        <v>60</v>
      </c>
      <c r="D42" s="135">
        <f>Motor!D12</f>
        <v>6000</v>
      </c>
      <c r="E42" s="60">
        <v>0</v>
      </c>
      <c r="F42" s="60">
        <v>2147483647</v>
      </c>
      <c r="G42" s="60" t="s">
        <v>91</v>
      </c>
      <c r="H42" s="60"/>
      <c r="I42" s="118"/>
    </row>
    <row r="43" spans="1:9" ht="15.75" thickBot="1" x14ac:dyDescent="0.3">
      <c r="A43" s="106">
        <f t="shared" si="0"/>
        <v>41</v>
      </c>
      <c r="B43" s="106" t="str">
        <f>DEC2HEX('Memory  Map'!$B$4 + (A43*4))</f>
        <v>3F8E4</v>
      </c>
      <c r="C43" s="128" t="s">
        <v>61</v>
      </c>
      <c r="D43" s="136">
        <f>-Motor!D12</f>
        <v>-6000</v>
      </c>
      <c r="E43" s="106">
        <v>0</v>
      </c>
      <c r="F43" s="106">
        <v>2147483647</v>
      </c>
      <c r="G43" s="106" t="s">
        <v>91</v>
      </c>
      <c r="H43" s="106"/>
      <c r="I43" s="118" t="s">
        <v>74</v>
      </c>
    </row>
    <row r="44" spans="1:9" x14ac:dyDescent="0.25">
      <c r="A44" s="59">
        <f t="shared" si="0"/>
        <v>42</v>
      </c>
      <c r="B44" s="59" t="str">
        <f>DEC2HEX('Memory  Map'!$B$4 + (A44*4))</f>
        <v>3F8E8</v>
      </c>
      <c r="C44" s="127" t="s">
        <v>81</v>
      </c>
      <c r="D44" s="134">
        <v>0</v>
      </c>
      <c r="E44" s="59">
        <v>0</v>
      </c>
      <c r="F44" s="59">
        <v>1</v>
      </c>
      <c r="G44" s="59" t="s">
        <v>50</v>
      </c>
      <c r="H44" s="59" t="s">
        <v>164</v>
      </c>
    </row>
    <row r="45" spans="1:9" x14ac:dyDescent="0.25">
      <c r="A45" s="18">
        <f t="shared" si="0"/>
        <v>43</v>
      </c>
      <c r="B45" s="18" t="str">
        <f>DEC2HEX('Memory  Map'!$B$4 + (A45*4))</f>
        <v>3F8EC</v>
      </c>
      <c r="C45" s="122" t="s">
        <v>82</v>
      </c>
      <c r="D45" s="135">
        <v>2147483647</v>
      </c>
      <c r="E45" s="18">
        <v>0</v>
      </c>
      <c r="F45" s="18">
        <v>2147483647</v>
      </c>
      <c r="G45" s="18" t="s">
        <v>91</v>
      </c>
      <c r="H45" s="18"/>
      <c r="I45" s="118"/>
    </row>
    <row r="46" spans="1:9" x14ac:dyDescent="0.25">
      <c r="A46" s="60">
        <f t="shared" si="0"/>
        <v>44</v>
      </c>
      <c r="B46" s="60" t="str">
        <f>DEC2HEX('Memory  Map'!$B$4 + (A46*4))</f>
        <v>3F8F0</v>
      </c>
      <c r="C46" s="121" t="s">
        <v>83</v>
      </c>
      <c r="D46" s="135">
        <v>0</v>
      </c>
      <c r="E46" s="60">
        <v>0</v>
      </c>
      <c r="F46" s="60">
        <v>1</v>
      </c>
      <c r="G46" s="60" t="s">
        <v>50</v>
      </c>
      <c r="H46" s="60"/>
    </row>
    <row r="47" spans="1:9" x14ac:dyDescent="0.25">
      <c r="A47" s="18">
        <f t="shared" si="0"/>
        <v>45</v>
      </c>
      <c r="B47" s="18" t="str">
        <f>DEC2HEX('Memory  Map'!$B$4 + (A47*4))</f>
        <v>3F8F4</v>
      </c>
      <c r="C47" s="122" t="s">
        <v>84</v>
      </c>
      <c r="D47" s="135">
        <v>2147483647</v>
      </c>
      <c r="E47" s="18">
        <v>0</v>
      </c>
      <c r="F47" s="18">
        <v>2147483647</v>
      </c>
      <c r="G47" s="18" t="s">
        <v>49</v>
      </c>
      <c r="H47" s="18"/>
      <c r="I47" s="118"/>
    </row>
    <row r="48" spans="1:9" x14ac:dyDescent="0.25">
      <c r="A48" s="60">
        <f t="shared" si="0"/>
        <v>46</v>
      </c>
      <c r="B48" s="60" t="str">
        <f>DEC2HEX('Memory  Map'!$B$4 + (A48*4))</f>
        <v>3F8F8</v>
      </c>
      <c r="C48" s="121" t="s">
        <v>31</v>
      </c>
      <c r="D48" s="135">
        <v>0</v>
      </c>
      <c r="E48" s="60">
        <v>0</v>
      </c>
      <c r="F48" s="60">
        <v>1</v>
      </c>
      <c r="G48" s="60" t="s">
        <v>50</v>
      </c>
      <c r="H48" s="60"/>
    </row>
    <row r="49" spans="1:9" x14ac:dyDescent="0.25">
      <c r="A49" s="18">
        <f t="shared" si="0"/>
        <v>47</v>
      </c>
      <c r="B49" s="18" t="str">
        <f>DEC2HEX('Memory  Map'!$B$4 + (A49*4))</f>
        <v>3F8FC</v>
      </c>
      <c r="C49" s="122" t="s">
        <v>57</v>
      </c>
      <c r="D49" s="135">
        <v>2147483647</v>
      </c>
      <c r="E49" s="18">
        <v>0</v>
      </c>
      <c r="F49" s="18">
        <v>2147483647</v>
      </c>
      <c r="G49" s="18" t="s">
        <v>91</v>
      </c>
      <c r="H49" s="18"/>
      <c r="I49" s="118"/>
    </row>
    <row r="50" spans="1:9" x14ac:dyDescent="0.25">
      <c r="A50" s="60">
        <f t="shared" si="0"/>
        <v>48</v>
      </c>
      <c r="B50" s="60" t="str">
        <f>DEC2HEX('Memory  Map'!$B$4 + (A50*4))</f>
        <v>3F900</v>
      </c>
      <c r="C50" s="121" t="s">
        <v>32</v>
      </c>
      <c r="D50" s="135">
        <v>0</v>
      </c>
      <c r="E50" s="60">
        <v>0</v>
      </c>
      <c r="F50" s="60">
        <v>1</v>
      </c>
      <c r="G50" s="60" t="s">
        <v>50</v>
      </c>
      <c r="H50" s="60"/>
    </row>
    <row r="51" spans="1:9" x14ac:dyDescent="0.25">
      <c r="A51" s="18">
        <f t="shared" si="0"/>
        <v>49</v>
      </c>
      <c r="B51" s="18" t="str">
        <f>DEC2HEX('Memory  Map'!$B$4 + (A51*4))</f>
        <v>3F904</v>
      </c>
      <c r="C51" s="122" t="s">
        <v>58</v>
      </c>
      <c r="D51" s="135">
        <v>1000</v>
      </c>
      <c r="E51" s="18">
        <v>0</v>
      </c>
      <c r="F51" s="18">
        <v>2147483647</v>
      </c>
      <c r="G51" s="18" t="s">
        <v>91</v>
      </c>
      <c r="H51" s="18"/>
      <c r="I51" s="118"/>
    </row>
    <row r="52" spans="1:9" ht="15.75" thickBot="1" x14ac:dyDescent="0.3">
      <c r="A52" s="87">
        <f t="shared" si="0"/>
        <v>50</v>
      </c>
      <c r="B52" s="87" t="str">
        <f>DEC2HEX('Memory  Map'!$B$4 + (A52*4))</f>
        <v>3F908</v>
      </c>
      <c r="C52" s="126" t="s">
        <v>59</v>
      </c>
      <c r="D52" s="136">
        <v>0</v>
      </c>
      <c r="E52" s="87">
        <v>0</v>
      </c>
      <c r="F52" s="87">
        <v>2147483647</v>
      </c>
      <c r="G52" s="87" t="s">
        <v>91</v>
      </c>
      <c r="H52" s="87"/>
      <c r="I52" s="7" t="s">
        <v>75</v>
      </c>
    </row>
    <row r="53" spans="1:9" x14ac:dyDescent="0.25">
      <c r="A53" s="40">
        <f t="shared" si="0"/>
        <v>51</v>
      </c>
      <c r="B53" s="40" t="str">
        <f>DEC2HEX('Memory  Map'!$B$4 + (A53*4))</f>
        <v>3F90C</v>
      </c>
      <c r="C53" s="125" t="s">
        <v>68</v>
      </c>
      <c r="D53" s="137">
        <v>0</v>
      </c>
      <c r="E53" s="40"/>
      <c r="F53" s="40"/>
      <c r="G53" s="40"/>
      <c r="H53" s="40" t="s">
        <v>165</v>
      </c>
      <c r="I53" s="118"/>
    </row>
    <row r="54" spans="1:9" x14ac:dyDescent="0.25">
      <c r="A54" s="60">
        <f t="shared" si="0"/>
        <v>52</v>
      </c>
      <c r="B54" s="60" t="str">
        <f>DEC2HEX('Memory  Map'!$B$4 + (A54*4))</f>
        <v>3F910</v>
      </c>
      <c r="C54" s="121" t="s">
        <v>33</v>
      </c>
      <c r="D54" s="138">
        <v>0</v>
      </c>
      <c r="E54" s="60"/>
      <c r="F54" s="60"/>
      <c r="G54" s="60"/>
      <c r="H54" s="60"/>
    </row>
    <row r="55" spans="1:9" x14ac:dyDescent="0.25">
      <c r="A55" s="18">
        <f t="shared" si="0"/>
        <v>53</v>
      </c>
      <c r="B55" s="18" t="str">
        <f>DEC2HEX('Memory  Map'!$B$4 + (A55*4))</f>
        <v>3F914</v>
      </c>
      <c r="C55" s="122" t="s">
        <v>34</v>
      </c>
      <c r="D55" s="138">
        <v>32</v>
      </c>
      <c r="E55" s="18"/>
      <c r="F55" s="18"/>
      <c r="G55" s="18"/>
      <c r="H55" s="18"/>
      <c r="I55" s="118"/>
    </row>
    <row r="56" spans="1:9" x14ac:dyDescent="0.25">
      <c r="A56" s="60">
        <f t="shared" si="0"/>
        <v>54</v>
      </c>
      <c r="B56" s="60" t="str">
        <f>DEC2HEX('Memory  Map'!$B$4 + (A56*4))</f>
        <v>3F918</v>
      </c>
      <c r="C56" s="121" t="s">
        <v>35</v>
      </c>
      <c r="D56" s="138">
        <v>250</v>
      </c>
      <c r="E56" s="60"/>
      <c r="F56" s="60"/>
      <c r="G56" s="60"/>
      <c r="H56" s="60"/>
    </row>
    <row r="57" spans="1:9" x14ac:dyDescent="0.25">
      <c r="A57" s="18">
        <f t="shared" si="0"/>
        <v>55</v>
      </c>
      <c r="B57" s="18" t="str">
        <f>DEC2HEX('Memory  Map'!$B$4 + (A57*4))</f>
        <v>3F91C</v>
      </c>
      <c r="C57" s="122" t="s">
        <v>36</v>
      </c>
      <c r="D57" s="138">
        <v>0</v>
      </c>
      <c r="E57" s="18"/>
      <c r="F57" s="18"/>
      <c r="G57" s="18"/>
      <c r="H57" s="18"/>
      <c r="I57" s="118"/>
    </row>
    <row r="58" spans="1:9" ht="15.75" thickBot="1" x14ac:dyDescent="0.3">
      <c r="A58" s="87">
        <f t="shared" si="0"/>
        <v>56</v>
      </c>
      <c r="B58" s="87" t="str">
        <f>DEC2HEX('Memory  Map'!$B$4 + (A58*4))</f>
        <v>3F920</v>
      </c>
      <c r="C58" s="126" t="s">
        <v>37</v>
      </c>
      <c r="D58" s="139">
        <v>0</v>
      </c>
      <c r="E58" s="87"/>
      <c r="F58" s="87"/>
      <c r="G58" s="87"/>
      <c r="H58" s="87"/>
      <c r="I58" s="118"/>
    </row>
    <row r="59" spans="1:9" ht="15.75" thickBot="1" x14ac:dyDescent="0.3">
      <c r="A59" s="87">
        <f t="shared" si="0"/>
        <v>57</v>
      </c>
      <c r="B59" s="40" t="str">
        <f>DEC2HEX('Memory  Map'!$B$4 + (A59*4))</f>
        <v>3F924</v>
      </c>
      <c r="C59" s="125" t="s">
        <v>170</v>
      </c>
      <c r="D59" s="138">
        <v>1</v>
      </c>
      <c r="E59" s="40"/>
      <c r="F59" s="40"/>
      <c r="G59" s="40"/>
      <c r="H59" s="40"/>
    </row>
    <row r="60" spans="1:9" x14ac:dyDescent="0.25">
      <c r="A60" s="60">
        <f t="shared" ref="A60:A68" si="1">A59+1</f>
        <v>58</v>
      </c>
      <c r="B60" s="60" t="str">
        <f>DEC2HEX('Memory  Map'!$B$4 + (A60*4))</f>
        <v>3F928</v>
      </c>
      <c r="C60" s="121" t="s">
        <v>171</v>
      </c>
      <c r="D60" s="135">
        <v>0</v>
      </c>
      <c r="E60" s="60"/>
      <c r="F60" s="60"/>
      <c r="G60" s="60"/>
      <c r="H60" s="60"/>
      <c r="I60" s="118"/>
    </row>
    <row r="61" spans="1:9" x14ac:dyDescent="0.25">
      <c r="A61" s="18">
        <v>59</v>
      </c>
      <c r="B61" s="18" t="s">
        <v>182</v>
      </c>
      <c r="C61" s="122" t="s">
        <v>183</v>
      </c>
      <c r="D61" s="93">
        <v>0</v>
      </c>
      <c r="E61" s="18"/>
      <c r="F61" s="18"/>
      <c r="G61" s="18"/>
      <c r="H61" s="18"/>
    </row>
    <row r="62" spans="1:9" ht="30" x14ac:dyDescent="0.25">
      <c r="A62" s="60">
        <v>60</v>
      </c>
      <c r="B62" s="60" t="s">
        <v>184</v>
      </c>
      <c r="C62" s="121" t="s">
        <v>185</v>
      </c>
      <c r="D62" s="93">
        <v>0</v>
      </c>
      <c r="E62" s="60"/>
      <c r="F62" s="60"/>
      <c r="G62" s="60"/>
      <c r="H62" s="60"/>
      <c r="I62" s="118"/>
    </row>
    <row r="63" spans="1:9" x14ac:dyDescent="0.25">
      <c r="A63" s="18">
        <v>61</v>
      </c>
      <c r="B63" s="18" t="s">
        <v>186</v>
      </c>
      <c r="C63" s="122" t="s">
        <v>187</v>
      </c>
      <c r="D63" s="93">
        <v>0</v>
      </c>
      <c r="E63" s="18"/>
      <c r="F63" s="18"/>
      <c r="G63" s="18"/>
      <c r="H63" s="18"/>
    </row>
    <row r="64" spans="1:9" ht="30" x14ac:dyDescent="0.25">
      <c r="A64" s="60">
        <v>62</v>
      </c>
      <c r="B64" s="60" t="s">
        <v>188</v>
      </c>
      <c r="C64" s="121" t="s">
        <v>189</v>
      </c>
      <c r="D64" s="93">
        <v>0</v>
      </c>
      <c r="E64" s="60"/>
      <c r="F64" s="60"/>
      <c r="G64" s="60"/>
      <c r="H64" s="60"/>
      <c r="I64" s="118"/>
    </row>
    <row r="65" spans="1:9" x14ac:dyDescent="0.25">
      <c r="A65" s="18">
        <f t="shared" si="1"/>
        <v>63</v>
      </c>
      <c r="B65" s="18" t="s">
        <v>191</v>
      </c>
      <c r="C65" s="122" t="s">
        <v>192</v>
      </c>
      <c r="D65" s="93">
        <v>1</v>
      </c>
      <c r="E65" s="18"/>
      <c r="F65" s="18"/>
      <c r="G65" s="18"/>
      <c r="H65" s="18"/>
    </row>
    <row r="66" spans="1:9" x14ac:dyDescent="0.25">
      <c r="A66" s="60">
        <f t="shared" si="1"/>
        <v>64</v>
      </c>
      <c r="B66" s="60" t="s">
        <v>193</v>
      </c>
      <c r="C66" s="121" t="s">
        <v>194</v>
      </c>
      <c r="D66" s="93">
        <v>60</v>
      </c>
      <c r="E66" s="60"/>
      <c r="F66" s="60"/>
      <c r="G66" s="60"/>
      <c r="H66" s="60"/>
      <c r="I66" s="118"/>
    </row>
    <row r="67" spans="1:9" x14ac:dyDescent="0.25">
      <c r="A67" s="18">
        <f t="shared" si="1"/>
        <v>65</v>
      </c>
      <c r="B67" s="18" t="s">
        <v>195</v>
      </c>
      <c r="C67" s="122" t="s">
        <v>196</v>
      </c>
      <c r="D67" s="93">
        <v>1</v>
      </c>
      <c r="E67" s="18"/>
      <c r="F67" s="18"/>
      <c r="G67" s="18"/>
      <c r="H67" s="18"/>
    </row>
    <row r="68" spans="1:9" x14ac:dyDescent="0.25">
      <c r="A68" s="60">
        <f t="shared" si="1"/>
        <v>66</v>
      </c>
      <c r="B68" s="60" t="s">
        <v>197</v>
      </c>
      <c r="C68" s="121" t="s">
        <v>198</v>
      </c>
      <c r="D68" s="93">
        <v>1</v>
      </c>
      <c r="E68" s="60"/>
      <c r="F68" s="60"/>
      <c r="G68" s="60"/>
      <c r="H68" s="60"/>
      <c r="I68" s="118"/>
    </row>
    <row r="69" spans="1:9" x14ac:dyDescent="0.25">
      <c r="A69" s="18">
        <f t="shared" ref="A69:A121" si="2">A68+1</f>
        <v>67</v>
      </c>
      <c r="B69" s="18" t="s">
        <v>199</v>
      </c>
      <c r="C69" s="122" t="s">
        <v>200</v>
      </c>
      <c r="D69" s="93">
        <v>1</v>
      </c>
      <c r="E69" s="18"/>
      <c r="F69" s="18"/>
      <c r="G69" s="18"/>
      <c r="H69" s="18"/>
    </row>
    <row r="70" spans="1:9" x14ac:dyDescent="0.25">
      <c r="A70" s="60">
        <f t="shared" si="2"/>
        <v>68</v>
      </c>
      <c r="B70" s="60" t="s">
        <v>201</v>
      </c>
      <c r="C70" s="121" t="s">
        <v>202</v>
      </c>
      <c r="D70" s="93">
        <v>60</v>
      </c>
      <c r="E70" s="60"/>
      <c r="F70" s="60"/>
      <c r="G70" s="60"/>
      <c r="H70" s="60"/>
      <c r="I70" s="118"/>
    </row>
    <row r="71" spans="1:9" x14ac:dyDescent="0.25">
      <c r="A71" s="18">
        <f t="shared" si="2"/>
        <v>69</v>
      </c>
      <c r="B71" s="18" t="str">
        <f>DEC2HEX('Memory  Map'!$B$4 + (A71*4))</f>
        <v>3F954</v>
      </c>
      <c r="C71" s="122" t="s">
        <v>115</v>
      </c>
      <c r="D71" s="93">
        <v>4294967295</v>
      </c>
      <c r="E71" s="18"/>
      <c r="F71" s="18"/>
      <c r="G71" s="18"/>
      <c r="H71" s="18"/>
    </row>
    <row r="72" spans="1:9" x14ac:dyDescent="0.25">
      <c r="A72" s="60">
        <f t="shared" si="2"/>
        <v>70</v>
      </c>
      <c r="B72" s="60" t="str">
        <f>DEC2HEX('Memory  Map'!$B$4 + (A72*4))</f>
        <v>3F958</v>
      </c>
      <c r="C72" s="121" t="s">
        <v>115</v>
      </c>
      <c r="D72" s="93">
        <v>4294967295</v>
      </c>
      <c r="E72" s="60"/>
      <c r="F72" s="60"/>
      <c r="G72" s="60"/>
      <c r="H72" s="60"/>
      <c r="I72" s="118"/>
    </row>
    <row r="73" spans="1:9" x14ac:dyDescent="0.25">
      <c r="A73" s="18">
        <f t="shared" si="2"/>
        <v>71</v>
      </c>
      <c r="B73" s="18" t="str">
        <f>DEC2HEX('Memory  Map'!$B$4 + (A73*4))</f>
        <v>3F95C</v>
      </c>
      <c r="C73" s="122" t="s">
        <v>115</v>
      </c>
      <c r="D73" s="93">
        <v>4294967295</v>
      </c>
      <c r="E73" s="18"/>
      <c r="F73" s="18"/>
      <c r="G73" s="18"/>
      <c r="H73" s="18"/>
    </row>
    <row r="74" spans="1:9" x14ac:dyDescent="0.25">
      <c r="A74" s="60">
        <f t="shared" si="2"/>
        <v>72</v>
      </c>
      <c r="B74" s="60" t="str">
        <f>DEC2HEX('Memory  Map'!$B$4 + (A74*4))</f>
        <v>3F960</v>
      </c>
      <c r="C74" s="121" t="s">
        <v>115</v>
      </c>
      <c r="D74" s="93">
        <v>4294967295</v>
      </c>
      <c r="E74" s="60"/>
      <c r="F74" s="60"/>
      <c r="G74" s="60"/>
      <c r="H74" s="60"/>
      <c r="I74" s="118"/>
    </row>
    <row r="75" spans="1:9" x14ac:dyDescent="0.25">
      <c r="A75" s="18">
        <f t="shared" si="2"/>
        <v>73</v>
      </c>
      <c r="B75" s="18" t="str">
        <f>DEC2HEX('Memory  Map'!$B$4 + (A75*4))</f>
        <v>3F964</v>
      </c>
      <c r="C75" s="122" t="s">
        <v>115</v>
      </c>
      <c r="D75" s="93">
        <v>4294967295</v>
      </c>
      <c r="E75" s="18"/>
      <c r="F75" s="18"/>
      <c r="G75" s="18"/>
      <c r="H75" s="18"/>
    </row>
    <row r="76" spans="1:9" x14ac:dyDescent="0.25">
      <c r="A76" s="60">
        <f t="shared" si="2"/>
        <v>74</v>
      </c>
      <c r="B76" s="60" t="str">
        <f>DEC2HEX('Memory  Map'!$B$4 + (A76*4))</f>
        <v>3F968</v>
      </c>
      <c r="C76" s="121" t="s">
        <v>115</v>
      </c>
      <c r="D76" s="93">
        <v>4294967295</v>
      </c>
      <c r="E76" s="60"/>
      <c r="F76" s="60"/>
      <c r="G76" s="60"/>
      <c r="H76" s="60"/>
      <c r="I76" s="118"/>
    </row>
    <row r="77" spans="1:9" x14ac:dyDescent="0.25">
      <c r="A77" s="18">
        <f t="shared" si="2"/>
        <v>75</v>
      </c>
      <c r="B77" s="18" t="str">
        <f>DEC2HEX('Memory  Map'!$B$4 + (A77*4))</f>
        <v>3F96C</v>
      </c>
      <c r="C77" s="122" t="s">
        <v>115</v>
      </c>
      <c r="D77" s="93">
        <v>4294967295</v>
      </c>
      <c r="E77" s="18"/>
      <c r="F77" s="18"/>
      <c r="G77" s="18"/>
      <c r="H77" s="18"/>
    </row>
    <row r="78" spans="1:9" x14ac:dyDescent="0.25">
      <c r="A78" s="60">
        <f t="shared" si="2"/>
        <v>76</v>
      </c>
      <c r="B78" s="60" t="str">
        <f>DEC2HEX('Memory  Map'!$B$4 + (A78*4))</f>
        <v>3F970</v>
      </c>
      <c r="C78" s="121" t="s">
        <v>115</v>
      </c>
      <c r="D78" s="93">
        <v>4294967295</v>
      </c>
      <c r="E78" s="60"/>
      <c r="F78" s="60"/>
      <c r="G78" s="60"/>
      <c r="H78" s="60"/>
      <c r="I78" s="118"/>
    </row>
    <row r="79" spans="1:9" x14ac:dyDescent="0.25">
      <c r="A79" s="18">
        <f t="shared" si="2"/>
        <v>77</v>
      </c>
      <c r="B79" s="18" t="str">
        <f>DEC2HEX('Memory  Map'!$B$4 + (A79*4))</f>
        <v>3F974</v>
      </c>
      <c r="C79" s="122" t="s">
        <v>115</v>
      </c>
      <c r="D79" s="93">
        <v>4294967295</v>
      </c>
      <c r="E79" s="18"/>
      <c r="F79" s="18"/>
      <c r="G79" s="18"/>
      <c r="H79" s="18"/>
    </row>
    <row r="80" spans="1:9" x14ac:dyDescent="0.25">
      <c r="A80" s="60">
        <f t="shared" si="2"/>
        <v>78</v>
      </c>
      <c r="B80" s="60" t="str">
        <f>DEC2HEX('Memory  Map'!$B$4 + (A80*4))</f>
        <v>3F978</v>
      </c>
      <c r="C80" s="121" t="s">
        <v>115</v>
      </c>
      <c r="D80" s="93">
        <v>4294967295</v>
      </c>
      <c r="E80" s="60"/>
      <c r="F80" s="60"/>
      <c r="G80" s="60"/>
      <c r="H80" s="60"/>
      <c r="I80" s="118"/>
    </row>
    <row r="81" spans="1:9" x14ac:dyDescent="0.25">
      <c r="A81" s="18">
        <f t="shared" si="2"/>
        <v>79</v>
      </c>
      <c r="B81" s="18" t="str">
        <f>DEC2HEX('Memory  Map'!$B$4 + (A81*4))</f>
        <v>3F97C</v>
      </c>
      <c r="C81" s="122" t="s">
        <v>115</v>
      </c>
      <c r="D81" s="93">
        <v>4294967295</v>
      </c>
      <c r="E81" s="18"/>
      <c r="F81" s="18"/>
      <c r="G81" s="18"/>
      <c r="H81" s="18"/>
    </row>
    <row r="82" spans="1:9" x14ac:dyDescent="0.25">
      <c r="A82" s="60">
        <f t="shared" si="2"/>
        <v>80</v>
      </c>
      <c r="B82" s="60" t="str">
        <f>DEC2HEX('Memory  Map'!$B$4 + (A82*4))</f>
        <v>3F980</v>
      </c>
      <c r="C82" s="121" t="s">
        <v>115</v>
      </c>
      <c r="D82" s="93">
        <v>4294967295</v>
      </c>
      <c r="E82" s="60"/>
      <c r="F82" s="60"/>
      <c r="G82" s="60"/>
      <c r="H82" s="60"/>
      <c r="I82" s="118"/>
    </row>
    <row r="83" spans="1:9" x14ac:dyDescent="0.25">
      <c r="A83" s="18">
        <f t="shared" si="2"/>
        <v>81</v>
      </c>
      <c r="B83" s="18" t="str">
        <f>DEC2HEX('Memory  Map'!$B$4 + (A83*4))</f>
        <v>3F984</v>
      </c>
      <c r="C83" s="122" t="s">
        <v>115</v>
      </c>
      <c r="D83" s="93">
        <v>4294967295</v>
      </c>
      <c r="E83" s="18"/>
      <c r="F83" s="18"/>
      <c r="G83" s="18"/>
      <c r="H83" s="18"/>
    </row>
    <row r="84" spans="1:9" x14ac:dyDescent="0.25">
      <c r="A84" s="60">
        <f t="shared" si="2"/>
        <v>82</v>
      </c>
      <c r="B84" s="60" t="str">
        <f>DEC2HEX('Memory  Map'!$B$4 + (A84*4))</f>
        <v>3F988</v>
      </c>
      <c r="C84" s="121" t="s">
        <v>115</v>
      </c>
      <c r="D84" s="93">
        <v>4294967295</v>
      </c>
      <c r="E84" s="60"/>
      <c r="F84" s="60"/>
      <c r="G84" s="60"/>
      <c r="H84" s="60"/>
      <c r="I84" s="118"/>
    </row>
    <row r="85" spans="1:9" x14ac:dyDescent="0.25">
      <c r="A85" s="18">
        <f t="shared" si="2"/>
        <v>83</v>
      </c>
      <c r="B85" s="18" t="str">
        <f>DEC2HEX('Memory  Map'!$B$4 + (A85*4))</f>
        <v>3F98C</v>
      </c>
      <c r="C85" s="122" t="s">
        <v>115</v>
      </c>
      <c r="D85" s="93">
        <v>4294967295</v>
      </c>
      <c r="E85" s="18"/>
      <c r="F85" s="18"/>
      <c r="G85" s="18"/>
      <c r="H85" s="18"/>
    </row>
    <row r="86" spans="1:9" x14ac:dyDescent="0.25">
      <c r="A86" s="60">
        <f t="shared" si="2"/>
        <v>84</v>
      </c>
      <c r="B86" s="60" t="str">
        <f>DEC2HEX('Memory  Map'!$B$4 + (A86*4))</f>
        <v>3F990</v>
      </c>
      <c r="C86" s="121" t="s">
        <v>115</v>
      </c>
      <c r="D86" s="93">
        <v>4294967295</v>
      </c>
      <c r="E86" s="60"/>
      <c r="F86" s="60"/>
      <c r="G86" s="60"/>
      <c r="H86" s="60"/>
      <c r="I86" s="118"/>
    </row>
    <row r="87" spans="1:9" x14ac:dyDescent="0.25">
      <c r="A87" s="18">
        <f t="shared" si="2"/>
        <v>85</v>
      </c>
      <c r="B87" s="18" t="str">
        <f>DEC2HEX('Memory  Map'!$B$4 + (A87*4))</f>
        <v>3F994</v>
      </c>
      <c r="C87" s="122" t="s">
        <v>115</v>
      </c>
      <c r="D87" s="93">
        <v>4294967295</v>
      </c>
      <c r="E87" s="18"/>
      <c r="F87" s="18"/>
      <c r="G87" s="18"/>
      <c r="H87" s="18"/>
    </row>
    <row r="88" spans="1:9" x14ac:dyDescent="0.25">
      <c r="A88" s="60">
        <f t="shared" si="2"/>
        <v>86</v>
      </c>
      <c r="B88" s="60" t="str">
        <f>DEC2HEX('Memory  Map'!$B$4 + (A88*4))</f>
        <v>3F998</v>
      </c>
      <c r="C88" s="121" t="s">
        <v>115</v>
      </c>
      <c r="D88" s="93">
        <v>4294967295</v>
      </c>
      <c r="E88" s="60"/>
      <c r="F88" s="60"/>
      <c r="G88" s="60"/>
      <c r="H88" s="60"/>
      <c r="I88" s="118"/>
    </row>
    <row r="89" spans="1:9" x14ac:dyDescent="0.25">
      <c r="A89" s="18">
        <f t="shared" si="2"/>
        <v>87</v>
      </c>
      <c r="B89" s="18" t="str">
        <f>DEC2HEX('Memory  Map'!$B$4 + (A89*4))</f>
        <v>3F99C</v>
      </c>
      <c r="C89" s="122" t="s">
        <v>115</v>
      </c>
      <c r="D89" s="93">
        <v>4294967295</v>
      </c>
      <c r="E89" s="18"/>
      <c r="F89" s="18"/>
      <c r="G89" s="18"/>
      <c r="H89" s="18"/>
    </row>
    <row r="90" spans="1:9" x14ac:dyDescent="0.25">
      <c r="A90" s="60">
        <f t="shared" si="2"/>
        <v>88</v>
      </c>
      <c r="B90" s="60" t="str">
        <f>DEC2HEX('Memory  Map'!$B$4 + (A90*4))</f>
        <v>3F9A0</v>
      </c>
      <c r="C90" s="121" t="s">
        <v>115</v>
      </c>
      <c r="D90" s="93">
        <v>4294967295</v>
      </c>
      <c r="E90" s="60"/>
      <c r="F90" s="60"/>
      <c r="G90" s="60"/>
      <c r="H90" s="60"/>
      <c r="I90" s="118"/>
    </row>
    <row r="91" spans="1:9" x14ac:dyDescent="0.25">
      <c r="A91" s="18">
        <f t="shared" si="2"/>
        <v>89</v>
      </c>
      <c r="B91" s="18" t="str">
        <f>DEC2HEX('Memory  Map'!$B$4 + (A91*4))</f>
        <v>3F9A4</v>
      </c>
      <c r="C91" s="122" t="s">
        <v>115</v>
      </c>
      <c r="D91" s="93">
        <v>4294967295</v>
      </c>
      <c r="E91" s="18"/>
      <c r="F91" s="18"/>
      <c r="G91" s="18"/>
      <c r="H91" s="18"/>
    </row>
    <row r="92" spans="1:9" x14ac:dyDescent="0.25">
      <c r="A92" s="60">
        <f t="shared" si="2"/>
        <v>90</v>
      </c>
      <c r="B92" s="60" t="str">
        <f>DEC2HEX('Memory  Map'!$B$4 + (A92*4))</f>
        <v>3F9A8</v>
      </c>
      <c r="C92" s="121" t="s">
        <v>115</v>
      </c>
      <c r="D92" s="93">
        <v>4294967295</v>
      </c>
      <c r="E92" s="60"/>
      <c r="F92" s="60"/>
      <c r="G92" s="60"/>
      <c r="H92" s="60"/>
      <c r="I92" s="118"/>
    </row>
    <row r="93" spans="1:9" x14ac:dyDescent="0.25">
      <c r="A93" s="18">
        <f t="shared" si="2"/>
        <v>91</v>
      </c>
      <c r="B93" s="18" t="str">
        <f>DEC2HEX('Memory  Map'!$B$4 + (A93*4))</f>
        <v>3F9AC</v>
      </c>
      <c r="C93" s="122" t="s">
        <v>115</v>
      </c>
      <c r="D93" s="93">
        <v>4294967295</v>
      </c>
      <c r="E93" s="18"/>
      <c r="F93" s="18"/>
      <c r="G93" s="18"/>
      <c r="H93" s="18"/>
    </row>
    <row r="94" spans="1:9" x14ac:dyDescent="0.25">
      <c r="A94" s="60">
        <f t="shared" si="2"/>
        <v>92</v>
      </c>
      <c r="B94" s="60" t="str">
        <f>DEC2HEX('Memory  Map'!$B$4 + (A94*4))</f>
        <v>3F9B0</v>
      </c>
      <c r="C94" s="121" t="s">
        <v>115</v>
      </c>
      <c r="D94" s="93">
        <v>4294967295</v>
      </c>
      <c r="E94" s="60"/>
      <c r="F94" s="60"/>
      <c r="G94" s="60"/>
      <c r="H94" s="60"/>
      <c r="I94" s="118"/>
    </row>
    <row r="95" spans="1:9" x14ac:dyDescent="0.25">
      <c r="A95" s="18">
        <f t="shared" si="2"/>
        <v>93</v>
      </c>
      <c r="B95" s="18" t="str">
        <f>DEC2HEX('Memory  Map'!$B$4 + (A95*4))</f>
        <v>3F9B4</v>
      </c>
      <c r="C95" s="122" t="s">
        <v>115</v>
      </c>
      <c r="D95" s="93">
        <v>4294967295</v>
      </c>
      <c r="E95" s="18"/>
      <c r="F95" s="18"/>
      <c r="G95" s="18"/>
      <c r="H95" s="18"/>
    </row>
    <row r="96" spans="1:9" x14ac:dyDescent="0.25">
      <c r="A96" s="60">
        <f t="shared" si="2"/>
        <v>94</v>
      </c>
      <c r="B96" s="60" t="str">
        <f>DEC2HEX('Memory  Map'!$B$4 + (A96*4))</f>
        <v>3F9B8</v>
      </c>
      <c r="C96" s="121" t="s">
        <v>115</v>
      </c>
      <c r="D96" s="93">
        <v>4294967295</v>
      </c>
      <c r="E96" s="60"/>
      <c r="F96" s="60"/>
      <c r="G96" s="60"/>
      <c r="H96" s="60"/>
      <c r="I96" s="118"/>
    </row>
    <row r="97" spans="1:9" x14ac:dyDescent="0.25">
      <c r="A97" s="18">
        <f t="shared" si="2"/>
        <v>95</v>
      </c>
      <c r="B97" s="18" t="str">
        <f>DEC2HEX('Memory  Map'!$B$4 + (A97*4))</f>
        <v>3F9BC</v>
      </c>
      <c r="C97" s="122" t="s">
        <v>115</v>
      </c>
      <c r="D97" s="93">
        <v>4294967295</v>
      </c>
      <c r="E97" s="18"/>
      <c r="F97" s="18"/>
      <c r="G97" s="18"/>
      <c r="H97" s="18"/>
    </row>
    <row r="98" spans="1:9" x14ac:dyDescent="0.25">
      <c r="A98" s="60">
        <f t="shared" si="2"/>
        <v>96</v>
      </c>
      <c r="B98" s="60" t="str">
        <f>DEC2HEX('Memory  Map'!$B$4 + (A98*4))</f>
        <v>3F9C0</v>
      </c>
      <c r="C98" s="121" t="s">
        <v>115</v>
      </c>
      <c r="D98" s="93">
        <v>4294967295</v>
      </c>
      <c r="E98" s="60"/>
      <c r="F98" s="60"/>
      <c r="G98" s="60"/>
      <c r="H98" s="60"/>
      <c r="I98" s="118"/>
    </row>
    <row r="99" spans="1:9" x14ac:dyDescent="0.25">
      <c r="A99" s="18">
        <f t="shared" si="2"/>
        <v>97</v>
      </c>
      <c r="B99" s="18" t="str">
        <f>DEC2HEX('Memory  Map'!$B$4 + (A99*4))</f>
        <v>3F9C4</v>
      </c>
      <c r="C99" s="122" t="s">
        <v>115</v>
      </c>
      <c r="D99" s="93">
        <v>4294967295</v>
      </c>
      <c r="E99" s="18"/>
      <c r="F99" s="18"/>
      <c r="G99" s="18"/>
      <c r="H99" s="18"/>
    </row>
    <row r="100" spans="1:9" x14ac:dyDescent="0.25">
      <c r="A100" s="60">
        <f t="shared" si="2"/>
        <v>98</v>
      </c>
      <c r="B100" s="60" t="str">
        <f>DEC2HEX('Memory  Map'!$B$4 + (A100*4))</f>
        <v>3F9C8</v>
      </c>
      <c r="C100" s="121" t="s">
        <v>115</v>
      </c>
      <c r="D100" s="93">
        <v>4294967295</v>
      </c>
      <c r="E100" s="60"/>
      <c r="F100" s="60"/>
      <c r="G100" s="60"/>
      <c r="H100" s="60"/>
      <c r="I100" s="118"/>
    </row>
    <row r="101" spans="1:9" x14ac:dyDescent="0.25">
      <c r="A101" s="18">
        <f t="shared" si="2"/>
        <v>99</v>
      </c>
      <c r="B101" s="18" t="str">
        <f>DEC2HEX('Memory  Map'!$B$4 + (A101*4))</f>
        <v>3F9CC</v>
      </c>
      <c r="C101" s="122" t="s">
        <v>115</v>
      </c>
      <c r="D101" s="93">
        <v>4294967295</v>
      </c>
      <c r="E101" s="18"/>
      <c r="F101" s="18"/>
      <c r="G101" s="18"/>
      <c r="H101" s="18"/>
    </row>
    <row r="102" spans="1:9" x14ac:dyDescent="0.25">
      <c r="A102" s="60">
        <f t="shared" si="2"/>
        <v>100</v>
      </c>
      <c r="B102" s="60" t="str">
        <f>DEC2HEX('Memory  Map'!$B$4 + (A102*4))</f>
        <v>3F9D0</v>
      </c>
      <c r="C102" s="121" t="s">
        <v>115</v>
      </c>
      <c r="D102" s="93">
        <v>4294967295</v>
      </c>
      <c r="E102" s="60"/>
      <c r="F102" s="60"/>
      <c r="G102" s="60"/>
      <c r="H102" s="60"/>
      <c r="I102" s="118"/>
    </row>
    <row r="103" spans="1:9" x14ac:dyDescent="0.25">
      <c r="A103" s="18">
        <f t="shared" si="2"/>
        <v>101</v>
      </c>
      <c r="B103" s="18" t="str">
        <f>DEC2HEX('Memory  Map'!$B$4 + (A103*4))</f>
        <v>3F9D4</v>
      </c>
      <c r="C103" s="122" t="s">
        <v>115</v>
      </c>
      <c r="D103" s="93">
        <v>4294967295</v>
      </c>
      <c r="E103" s="18"/>
      <c r="F103" s="18"/>
      <c r="G103" s="18"/>
      <c r="H103" s="18"/>
    </row>
    <row r="104" spans="1:9" x14ac:dyDescent="0.25">
      <c r="A104" s="60">
        <f t="shared" si="2"/>
        <v>102</v>
      </c>
      <c r="B104" s="60" t="str">
        <f>DEC2HEX('Memory  Map'!$B$4 + (A104*4))</f>
        <v>3F9D8</v>
      </c>
      <c r="C104" s="121" t="s">
        <v>115</v>
      </c>
      <c r="D104" s="93">
        <v>4294967295</v>
      </c>
      <c r="E104" s="60"/>
      <c r="F104" s="60"/>
      <c r="G104" s="60"/>
      <c r="H104" s="60"/>
      <c r="I104" s="118"/>
    </row>
    <row r="105" spans="1:9" x14ac:dyDescent="0.25">
      <c r="A105" s="18">
        <f t="shared" si="2"/>
        <v>103</v>
      </c>
      <c r="B105" s="18" t="str">
        <f>DEC2HEX('Memory  Map'!$B$4 + (A105*4))</f>
        <v>3F9DC</v>
      </c>
      <c r="C105" s="122" t="s">
        <v>115</v>
      </c>
      <c r="D105" s="93">
        <v>4294967295</v>
      </c>
      <c r="E105" s="18"/>
      <c r="F105" s="18"/>
      <c r="G105" s="18"/>
      <c r="H105" s="18"/>
    </row>
    <row r="106" spans="1:9" x14ac:dyDescent="0.25">
      <c r="A106" s="60">
        <f t="shared" si="2"/>
        <v>104</v>
      </c>
      <c r="B106" s="60" t="str">
        <f>DEC2HEX('Memory  Map'!$B$4 + (A106*4))</f>
        <v>3F9E0</v>
      </c>
      <c r="C106" s="121" t="s">
        <v>115</v>
      </c>
      <c r="D106" s="93">
        <v>4294967295</v>
      </c>
      <c r="E106" s="60"/>
      <c r="F106" s="60"/>
      <c r="G106" s="60"/>
      <c r="H106" s="60"/>
      <c r="I106" s="118"/>
    </row>
    <row r="107" spans="1:9" x14ac:dyDescent="0.25">
      <c r="A107" s="18">
        <f t="shared" si="2"/>
        <v>105</v>
      </c>
      <c r="B107" s="18" t="str">
        <f>DEC2HEX('Memory  Map'!$B$4 + (A107*4))</f>
        <v>3F9E4</v>
      </c>
      <c r="C107" s="122" t="s">
        <v>115</v>
      </c>
      <c r="D107" s="93">
        <v>4294967295</v>
      </c>
      <c r="E107" s="18"/>
      <c r="F107" s="18"/>
      <c r="G107" s="18"/>
      <c r="H107" s="18"/>
    </row>
    <row r="108" spans="1:9" x14ac:dyDescent="0.25">
      <c r="A108" s="60">
        <f t="shared" si="2"/>
        <v>106</v>
      </c>
      <c r="B108" s="60" t="str">
        <f>DEC2HEX('Memory  Map'!$B$4 + (A108*4))</f>
        <v>3F9E8</v>
      </c>
      <c r="C108" s="121" t="s">
        <v>115</v>
      </c>
      <c r="D108" s="93">
        <v>4294967295</v>
      </c>
      <c r="E108" s="60"/>
      <c r="F108" s="60"/>
      <c r="G108" s="60"/>
      <c r="H108" s="60"/>
      <c r="I108" s="118"/>
    </row>
    <row r="109" spans="1:9" x14ac:dyDescent="0.25">
      <c r="A109" s="18">
        <f t="shared" si="2"/>
        <v>107</v>
      </c>
      <c r="B109" s="18" t="str">
        <f>DEC2HEX('Memory  Map'!$B$4 + (A109*4))</f>
        <v>3F9EC</v>
      </c>
      <c r="C109" s="122" t="s">
        <v>115</v>
      </c>
      <c r="D109" s="93">
        <v>4294967295</v>
      </c>
      <c r="E109" s="18"/>
      <c r="F109" s="18"/>
      <c r="G109" s="18"/>
      <c r="H109" s="18"/>
    </row>
    <row r="110" spans="1:9" x14ac:dyDescent="0.25">
      <c r="A110" s="60">
        <f t="shared" si="2"/>
        <v>108</v>
      </c>
      <c r="B110" s="60" t="str">
        <f>DEC2HEX('Memory  Map'!$B$4 + (A110*4))</f>
        <v>3F9F0</v>
      </c>
      <c r="C110" s="121" t="s">
        <v>115</v>
      </c>
      <c r="D110" s="93">
        <v>4294967295</v>
      </c>
      <c r="E110" s="60"/>
      <c r="F110" s="60"/>
      <c r="G110" s="60"/>
      <c r="H110" s="60"/>
      <c r="I110" s="118"/>
    </row>
    <row r="111" spans="1:9" x14ac:dyDescent="0.25">
      <c r="A111" s="18">
        <f t="shared" si="2"/>
        <v>109</v>
      </c>
      <c r="B111" s="18" t="str">
        <f>DEC2HEX('Memory  Map'!$B$4 + (A111*4))</f>
        <v>3F9F4</v>
      </c>
      <c r="C111" s="122" t="s">
        <v>115</v>
      </c>
      <c r="D111" s="93">
        <v>4294967295</v>
      </c>
      <c r="E111" s="18"/>
      <c r="F111" s="18"/>
      <c r="G111" s="18"/>
      <c r="H111" s="18"/>
    </row>
    <row r="112" spans="1:9" x14ac:dyDescent="0.25">
      <c r="A112" s="60">
        <f t="shared" si="2"/>
        <v>110</v>
      </c>
      <c r="B112" s="60" t="str">
        <f>DEC2HEX('Memory  Map'!$B$4 + (A112*4))</f>
        <v>3F9F8</v>
      </c>
      <c r="C112" s="121" t="s">
        <v>115</v>
      </c>
      <c r="D112" s="93">
        <v>4294967295</v>
      </c>
      <c r="E112" s="60"/>
      <c r="F112" s="60"/>
      <c r="G112" s="60"/>
      <c r="H112" s="60"/>
      <c r="I112" s="118"/>
    </row>
    <row r="113" spans="1:9" x14ac:dyDescent="0.25">
      <c r="A113" s="18">
        <f t="shared" si="2"/>
        <v>111</v>
      </c>
      <c r="B113" s="18" t="str">
        <f>DEC2HEX('Memory  Map'!$B$4 + (A113*4))</f>
        <v>3F9FC</v>
      </c>
      <c r="C113" s="122" t="s">
        <v>115</v>
      </c>
      <c r="D113" s="93">
        <v>4294967295</v>
      </c>
      <c r="E113" s="18"/>
      <c r="F113" s="18"/>
      <c r="G113" s="18"/>
      <c r="H113" s="18"/>
    </row>
    <row r="114" spans="1:9" x14ac:dyDescent="0.25">
      <c r="A114" s="60">
        <f t="shared" si="2"/>
        <v>112</v>
      </c>
      <c r="B114" s="60" t="str">
        <f>DEC2HEX('Memory  Map'!$B$4 + (A114*4))</f>
        <v>3FA00</v>
      </c>
      <c r="C114" s="121" t="s">
        <v>115</v>
      </c>
      <c r="D114" s="93">
        <v>4294967295</v>
      </c>
      <c r="E114" s="60"/>
      <c r="F114" s="60"/>
      <c r="G114" s="60"/>
      <c r="H114" s="60"/>
      <c r="I114" s="118"/>
    </row>
    <row r="115" spans="1:9" x14ac:dyDescent="0.25">
      <c r="A115" s="18">
        <f t="shared" si="2"/>
        <v>113</v>
      </c>
      <c r="B115" s="18" t="str">
        <f>DEC2HEX('Memory  Map'!$B$4 + (A115*4))</f>
        <v>3FA04</v>
      </c>
      <c r="C115" s="122" t="s">
        <v>115</v>
      </c>
      <c r="D115" s="93">
        <v>4294967295</v>
      </c>
      <c r="E115" s="18"/>
      <c r="F115" s="18"/>
      <c r="G115" s="18"/>
      <c r="H115" s="18"/>
    </row>
    <row r="116" spans="1:9" x14ac:dyDescent="0.25">
      <c r="A116" s="60">
        <f t="shared" si="2"/>
        <v>114</v>
      </c>
      <c r="B116" s="60" t="str">
        <f>DEC2HEX('Memory  Map'!$B$4 + (A116*4))</f>
        <v>3FA08</v>
      </c>
      <c r="C116" s="121" t="s">
        <v>115</v>
      </c>
      <c r="D116" s="93">
        <v>4294967295</v>
      </c>
      <c r="E116" s="60"/>
      <c r="F116" s="60"/>
      <c r="G116" s="60"/>
      <c r="H116" s="60"/>
      <c r="I116" s="118"/>
    </row>
    <row r="117" spans="1:9" x14ac:dyDescent="0.25">
      <c r="A117" s="18">
        <f t="shared" si="2"/>
        <v>115</v>
      </c>
      <c r="B117" s="18" t="str">
        <f>DEC2HEX('Memory  Map'!$B$4 + (A117*4))</f>
        <v>3FA0C</v>
      </c>
      <c r="C117" s="122" t="s">
        <v>115</v>
      </c>
      <c r="D117" s="93">
        <v>4294967295</v>
      </c>
      <c r="E117" s="18"/>
      <c r="F117" s="18"/>
      <c r="G117" s="18"/>
      <c r="H117" s="18"/>
    </row>
    <row r="118" spans="1:9" x14ac:dyDescent="0.25">
      <c r="A118" s="60">
        <f t="shared" si="2"/>
        <v>116</v>
      </c>
      <c r="B118" s="60" t="str">
        <f>DEC2HEX('Memory  Map'!$B$4 + (A118*4))</f>
        <v>3FA10</v>
      </c>
      <c r="C118" s="121" t="s">
        <v>115</v>
      </c>
      <c r="D118" s="93">
        <v>4294967295</v>
      </c>
      <c r="E118" s="60"/>
      <c r="F118" s="60"/>
      <c r="G118" s="60"/>
      <c r="H118" s="60"/>
      <c r="I118" s="118"/>
    </row>
    <row r="119" spans="1:9" x14ac:dyDescent="0.25">
      <c r="A119" s="18">
        <f t="shared" si="2"/>
        <v>117</v>
      </c>
      <c r="B119" s="18" t="str">
        <f>DEC2HEX('Memory  Map'!$B$4 + (A119*4))</f>
        <v>3FA14</v>
      </c>
      <c r="C119" s="122" t="s">
        <v>115</v>
      </c>
      <c r="D119" s="93">
        <v>4294967295</v>
      </c>
      <c r="E119" s="18"/>
      <c r="F119" s="18"/>
      <c r="G119" s="18"/>
      <c r="H119" s="18"/>
    </row>
    <row r="120" spans="1:9" x14ac:dyDescent="0.25">
      <c r="A120" s="60">
        <f t="shared" si="2"/>
        <v>118</v>
      </c>
      <c r="B120" s="60" t="str">
        <f>DEC2HEX('Memory  Map'!$B$4 + (A120*4))</f>
        <v>3FA18</v>
      </c>
      <c r="C120" s="121" t="s">
        <v>115</v>
      </c>
      <c r="D120" s="93">
        <v>4294967295</v>
      </c>
      <c r="E120" s="60"/>
      <c r="F120" s="60"/>
      <c r="G120" s="60"/>
      <c r="H120" s="60"/>
      <c r="I120" s="118"/>
    </row>
    <row r="121" spans="1:9" x14ac:dyDescent="0.25">
      <c r="A121" s="18">
        <f t="shared" si="2"/>
        <v>119</v>
      </c>
      <c r="B121" s="18" t="str">
        <f>DEC2HEX('Memory  Map'!$B$4 + (A121*4))</f>
        <v>3FA1C</v>
      </c>
      <c r="C121" s="122" t="s">
        <v>115</v>
      </c>
      <c r="D121" s="93">
        <v>4294967295</v>
      </c>
      <c r="E121" s="18"/>
      <c r="F121" s="18"/>
      <c r="G121" s="18"/>
      <c r="H121" s="18"/>
    </row>
    <row r="129" spans="3:3" ht="15.75" thickBot="1" x14ac:dyDescent="0.3">
      <c r="C129" s="17"/>
    </row>
  </sheetData>
  <dataValidations xWindow="492" yWindow="756" count="23">
    <dataValidation type="list" showInputMessage="1" showErrorMessage="1" sqref="D14" xr:uid="{37869ADA-337E-40B9-9DD5-2B8A298D816F}">
      <formula1>"0,1,2,3,4"</formula1>
    </dataValidation>
    <dataValidation type="list" showInputMessage="1" showErrorMessage="1" promptTitle="Regulation control mode:" prompt="1 =  SERVO_PID _x000a_2 = OPEN_LOOP" sqref="D13" xr:uid="{D2719675-938C-459B-B894-41AFBCE5F13E}">
      <formula1>"1,2"</formula1>
    </dataValidation>
    <dataValidation type="list" showInputMessage="1" showErrorMessage="1" prompt="0  = PMAC_OPEN_LOOP_x000a_1 =  PMAC_SENSORLESS_x000a_2 = BLDC_SERVO_x000a_3 = PMAC_SERVO_x000a_4 =  BDC_OPEN_LOOP_x000a_5 =  BDC_SERVO_x000a_6 = STEPPER_OPEN_LOOP_x000a_7 = STEPPER_STALL_DETECT_x000a_8 = STEPPER_SERVO_x000a_" sqref="D10" xr:uid="{A6B6315D-785B-417B-986C-7E97BFD76C90}">
      <formula1>"0,1,2,3,4,5,6,7,8"</formula1>
    </dataValidation>
    <dataValidation type="list" showInputMessage="1" showErrorMessage="1" promptTitle="Encoder Calibration Routine " prompt="0 - DISABLED_x000a_1 - ENABLED" sqref="D11" xr:uid="{0C7BCA04-863E-4C40-885B-123577E2DACE}">
      <formula1>"0,1"</formula1>
    </dataValidation>
    <dataValidation type="list" allowBlank="1" showInputMessage="1" showErrorMessage="1" prompt="1 THREE_PHASE_BLOCK_x000a_2 THREE_PHASE_SINE_x000a_3 TWO_PHASE_BIPOLAR _x000a_4 TWO_PHASE_SINE  _x000a_5 TWO_PHASE_MIXED_x000a_6 ONE_PHASE_BIPOLAR " sqref="D12" xr:uid="{7ED33CF9-5656-402C-B180-3E89B0E4EF41}">
      <formula1>"1,2,3,4,5,6"</formula1>
    </dataValidation>
    <dataValidation type="list" showInputMessage="1" showErrorMessage="1" prompt="0 = SSI Disabled_x000a_1 = SSI Enabled" sqref="D9" xr:uid="{8237C55B-DF14-4B86-BB33-D09F48BD2E9D}">
      <formula1>"0,1"</formula1>
    </dataValidation>
    <dataValidation type="list" showInputMessage="1" showErrorMessage="1" promptTitle="Default reference command type:" prompt="_x000a_1 =  POSITION_COMMAND _x000a_2 = VELOCITY_COMMAND _x000a_3 = CURRENT_COMMAND    _x000a_4 = VOLTAGE_COMMAND   " sqref="D22" xr:uid="{288A3192-25A1-4024-92FA-ADCFD2C4D556}">
      <formula1>"1,2,3,4"</formula1>
    </dataValidation>
    <dataValidation type="list" showInputMessage="1" showErrorMessage="1" prompt="1 =  MOTION_PROFILE_x000a_2 =  PDE_x000a_3  = PWM_x000a_4 = LOGIC_SELECT_x000a_5 = Reserved_x000a_6 = FIXED_PRESET" sqref="D15:D21 D59" xr:uid="{76E8304B-C2C5-441B-9408-D5732C3B619B}">
      <formula1>"1,2,3,4,5,6"</formula1>
    </dataValidation>
    <dataValidation allowBlank="1" showInputMessage="1" showErrorMessage="1" prompt="0 =  MOTION_PROFILE_x000a_1 =  PDE_REFERENCE _x000a_2  = PWM_REFERENCE_x000a_3 = LOGIC_SELECT_x000a_4 = FIXED_PRESET" sqref="L9" xr:uid="{00000000-0002-0000-0300-000008000000}"/>
    <dataValidation type="whole" showInputMessage="1" showErrorMessage="1" prompt="Range: 0-12000 RPM" sqref="D23" xr:uid="{D55AB0AD-1A4F-46EA-BD7E-5F626BD391FB}">
      <formula1>0</formula1>
      <formula2>12000</formula2>
    </dataValidation>
    <dataValidation type="textLength" allowBlank="1" showInputMessage="1" showErrorMessage="1" sqref="D2:D4" xr:uid="{0677D63C-059F-4E4E-9672-FDE83A9C6EB5}">
      <formula1>0</formula1>
      <formula2>4</formula2>
    </dataValidation>
    <dataValidation type="list" showInputMessage="1" showErrorMessage="1" sqref="D5" xr:uid="{BAE4D35F-882D-4A28-80E7-FF3874AC82C9}">
      <formula1>"3,4"</formula1>
    </dataValidation>
    <dataValidation type="list" showInputMessage="1" showErrorMessage="1" sqref="D6" xr:uid="{FB7BCFC2-5878-4B29-BD51-0E958D00DC30}">
      <formula1>"42,48,70"</formula1>
    </dataValidation>
    <dataValidation type="list" showInputMessage="1" showErrorMessage="1" sqref="D50 D29:D31 D44 D46 D48" xr:uid="{E43D6C34-9BA1-4570-A58C-A66092C209C7}">
      <formula1>"0,1"</formula1>
    </dataValidation>
    <dataValidation type="whole" allowBlank="1" showInputMessage="1" showErrorMessage="1" sqref="D32 D39" xr:uid="{81F29492-1092-4F20-A2E9-AA5BB39BB948}">
      <formula1>0</formula1>
      <formula2>100000</formula2>
    </dataValidation>
    <dataValidation type="whole" showInputMessage="1" showErrorMessage="1" sqref="D47 D45" xr:uid="{46F29C10-7093-4B76-A933-9410CDAE1A15}">
      <formula1>-2147483647</formula1>
      <formula2>2147483647</formula2>
    </dataValidation>
    <dataValidation type="whole" showInputMessage="1" showErrorMessage="1" sqref="D33:D35 D40 D38" xr:uid="{BD28CACE-623A-49FF-91BB-A984E6BC9876}">
      <formula1>0</formula1>
      <formula2>100000</formula2>
    </dataValidation>
    <dataValidation type="whole" showInputMessage="1" showErrorMessage="1" sqref="D41" xr:uid="{0EEB1812-74D6-4A1B-8C42-3372C47BDFCE}">
      <formula1>0</formula1>
      <formula2>100</formula2>
    </dataValidation>
    <dataValidation type="decimal" allowBlank="1" showInputMessage="1" showErrorMessage="1" sqref="D49" xr:uid="{2EA5C99C-ED8C-4E34-8A31-4DD4760AF8E7}">
      <formula1>-2147486647</formula1>
      <formula2>2147486647</formula2>
    </dataValidation>
    <dataValidation type="whole" allowBlank="1" showInputMessage="1" showErrorMessage="1" sqref="D51" xr:uid="{70F2C39D-600D-41B4-961A-9F41E85EE010}">
      <formula1>0</formula1>
      <formula2>2147483647</formula2>
    </dataValidation>
    <dataValidation type="whole" showInputMessage="1" showErrorMessage="1" sqref="D52" xr:uid="{245DAF25-66AF-42C7-939E-5C2BD190351F}">
      <formula1>0</formula1>
      <formula2>2147483647</formula2>
    </dataValidation>
    <dataValidation type="list" showInputMessage="1" showErrorMessage="1" sqref="D8" xr:uid="{D9281088-A976-4882-8BC0-108264394CF3}">
      <formula1>"1750,3750,7000"</formula1>
    </dataValidation>
    <dataValidation type="list" showInputMessage="1" showErrorMessage="1" sqref="D7" xr:uid="{4B573DB2-DFB7-4FE4-B40E-02B9C2EDFEDE}">
      <formula1>"2500, 5000,10000,"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xWindow="492" yWindow="756" count="9">
        <x14:dataValidation type="whole" showInputMessage="1" showErrorMessage="1" xr:uid="{71BF899E-2B11-4C87-90C1-11636094C784}">
          <x14:formula1>
            <xm:f>-Motor!D12</xm:f>
          </x14:formula1>
          <x14:formula2>
            <xm:f>0</xm:f>
          </x14:formula2>
          <xm:sqref>D43</xm:sqref>
        </x14:dataValidation>
        <x14:dataValidation type="whole" allowBlank="1" showInputMessage="1" showErrorMessage="1" xr:uid="{65B27B15-01B3-4B2E-83B2-31B6A0113A18}">
          <x14:formula1>
            <xm:f>0</xm:f>
          </x14:formula1>
          <x14:formula2>
            <xm:f>Motor!D11</xm:f>
          </x14:formula2>
          <xm:sqref>D36</xm:sqref>
        </x14:dataValidation>
        <x14:dataValidation type="whole" allowBlank="1" showInputMessage="1" showErrorMessage="1" prompt="Range : Rated Continuous Motor Current" xr:uid="{46C29143-8709-479F-8F23-B8683AF26EC5}">
          <x14:formula1>
            <xm:f>0</xm:f>
          </x14:formula1>
          <x14:formula2>
            <xm:f>Motor!D10</xm:f>
          </x14:formula2>
          <xm:sqref>D24 D60</xm:sqref>
        </x14:dataValidation>
        <x14:dataValidation type="whole" showInputMessage="1" showErrorMessage="1" xr:uid="{284CDB2E-02A5-4A32-97A6-6AF6B769741C}">
          <x14:formula1>
            <xm:f>-Motor!D12</xm:f>
          </x14:formula1>
          <x14:formula2>
            <xm:f>0</xm:f>
          </x14:formula2>
          <xm:sqref>D25</xm:sqref>
        </x14:dataValidation>
        <x14:dataValidation type="whole" allowBlank="1" showInputMessage="1" showErrorMessage="1" xr:uid="{C15E98AE-6DA9-4454-A55B-B5493E765345}">
          <x14:formula1>
            <xm:f>0</xm:f>
          </x14:formula1>
          <x14:formula2>
            <xm:f>Motor!C12</xm:f>
          </x14:formula2>
          <xm:sqref>D26</xm:sqref>
        </x14:dataValidation>
        <x14:dataValidation type="whole" allowBlank="1" showInputMessage="1" showErrorMessage="1" xr:uid="{EC9C23DE-14A2-4138-9FB2-313B4F82992A}">
          <x14:formula1>
            <xm:f>-Motor!D11</xm:f>
          </x14:formula1>
          <x14:formula2>
            <xm:f>0</xm:f>
          </x14:formula2>
          <xm:sqref>D27</xm:sqref>
        </x14:dataValidation>
        <x14:dataValidation type="whole" allowBlank="1" showInputMessage="1" showErrorMessage="1" xr:uid="{A65AE45B-5BB7-436A-A555-4F019AF3F2EC}">
          <x14:formula1>
            <xm:f>0</xm:f>
          </x14:formula1>
          <x14:formula2>
            <xm:f>Motor!D11</xm:f>
          </x14:formula2>
          <xm:sqref>D28</xm:sqref>
        </x14:dataValidation>
        <x14:dataValidation type="whole" allowBlank="1" showInputMessage="1" showErrorMessage="1" xr:uid="{C113019B-B67E-4655-BC9B-A8E01B44E66D}">
          <x14:formula1>
            <xm:f>0</xm:f>
          </x14:formula1>
          <x14:formula2>
            <xm:f>Motor!D12</xm:f>
          </x14:formula2>
          <xm:sqref>D42</xm:sqref>
        </x14:dataValidation>
        <x14:dataValidation type="whole" allowBlank="1" showInputMessage="1" showErrorMessage="1" xr:uid="{CFAF1A87-4D70-4A49-A1B7-344ED5C49432}">
          <x14:formula1>
            <xm:f>-Motor!D11</xm:f>
          </x14:formula1>
          <x14:formula2>
            <xm:f>0</xm:f>
          </x14:formula2>
          <xm:sqref>D37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44"/>
  <sheetViews>
    <sheetView workbookViewId="0">
      <selection activeCell="D4" sqref="D4"/>
    </sheetView>
  </sheetViews>
  <sheetFormatPr defaultRowHeight="15" x14ac:dyDescent="0.25"/>
  <cols>
    <col min="1" max="1" width="7.7109375" customWidth="1"/>
    <col min="2" max="2" width="21.7109375" style="2" customWidth="1"/>
    <col min="3" max="3" width="31.7109375" customWidth="1"/>
    <col min="4" max="4" width="14.85546875" style="6" customWidth="1"/>
    <col min="5" max="5" width="0.140625" style="2" customWidth="1"/>
    <col min="6" max="6" width="10.7109375" style="2" hidden="1" customWidth="1"/>
    <col min="7" max="7" width="20.140625" hidden="1" customWidth="1"/>
    <col min="8" max="8" width="42.85546875" customWidth="1"/>
  </cols>
  <sheetData>
    <row r="1" spans="1:8" x14ac:dyDescent="0.25">
      <c r="A1" s="1" t="s">
        <v>106</v>
      </c>
      <c r="B1" s="2" t="s">
        <v>103</v>
      </c>
      <c r="C1" s="1" t="s">
        <v>66</v>
      </c>
      <c r="D1" s="93" t="s">
        <v>92</v>
      </c>
      <c r="E1" s="1" t="s">
        <v>0</v>
      </c>
      <c r="F1" s="1" t="s">
        <v>1</v>
      </c>
      <c r="G1" s="1" t="s">
        <v>51</v>
      </c>
      <c r="H1" s="1" t="s">
        <v>98</v>
      </c>
    </row>
    <row r="2" spans="1:8" x14ac:dyDescent="0.25">
      <c r="A2" s="95">
        <v>0</v>
      </c>
      <c r="B2" s="64" t="str">
        <f>DEC2HEX('Memory  Map'!$B$7+(Lead!A2 * 4))</f>
        <v>3FBA0</v>
      </c>
      <c r="C2" s="97" t="s">
        <v>85</v>
      </c>
      <c r="D2" s="109" t="s">
        <v>172</v>
      </c>
      <c r="E2" s="64">
        <v>0</v>
      </c>
      <c r="F2" s="64">
        <v>4294967296</v>
      </c>
      <c r="G2" s="64" t="s">
        <v>77</v>
      </c>
      <c r="H2" s="94"/>
    </row>
    <row r="3" spans="1:8" x14ac:dyDescent="0.25">
      <c r="A3" s="1">
        <f>A2+1</f>
        <v>1</v>
      </c>
      <c r="B3" s="2" t="str">
        <f>DEC2HEX('Memory  Map'!$B$7+(Lead!A3 * 4))</f>
        <v>3FBA4</v>
      </c>
      <c r="C3" s="5" t="s">
        <v>86</v>
      </c>
      <c r="D3" s="109" t="s">
        <v>190</v>
      </c>
      <c r="E3" s="2">
        <v>0</v>
      </c>
      <c r="F3" s="2">
        <v>4294967296</v>
      </c>
      <c r="G3" s="2" t="s">
        <v>77</v>
      </c>
    </row>
    <row r="4" spans="1:8" x14ac:dyDescent="0.25">
      <c r="A4" s="95">
        <f t="shared" ref="A4:A33" si="0">A3+1</f>
        <v>2</v>
      </c>
      <c r="B4" s="64" t="str">
        <f>DEC2HEX('Memory  Map'!$B$7+(Lead!A4 * 4))</f>
        <v>3FBA8</v>
      </c>
      <c r="C4" s="97" t="s">
        <v>87</v>
      </c>
      <c r="D4" s="109" t="s">
        <v>190</v>
      </c>
      <c r="E4" s="64">
        <v>0</v>
      </c>
      <c r="F4" s="64">
        <v>4294967296</v>
      </c>
      <c r="G4" s="64" t="s">
        <v>77</v>
      </c>
      <c r="H4" s="94"/>
    </row>
    <row r="5" spans="1:8" x14ac:dyDescent="0.25">
      <c r="A5" s="1">
        <f t="shared" si="0"/>
        <v>3</v>
      </c>
      <c r="B5" s="2" t="str">
        <f>DEC2HEX('Memory  Map'!$B$7+(Lead!A5 * 4))</f>
        <v>3FBAC</v>
      </c>
      <c r="C5" s="5" t="s">
        <v>63</v>
      </c>
      <c r="D5" s="98">
        <v>1000</v>
      </c>
      <c r="E5" s="2">
        <v>0</v>
      </c>
      <c r="F5" s="2">
        <v>2147483648</v>
      </c>
      <c r="G5" s="2" t="s">
        <v>91</v>
      </c>
    </row>
    <row r="6" spans="1:8" x14ac:dyDescent="0.25">
      <c r="A6" s="95">
        <f t="shared" si="0"/>
        <v>4</v>
      </c>
      <c r="B6" s="64" t="str">
        <f>DEC2HEX('Memory  Map'!$B$7+(Lead!A6 * 4))</f>
        <v>3FBB0</v>
      </c>
      <c r="C6" s="97" t="s">
        <v>62</v>
      </c>
      <c r="D6" s="98">
        <v>1</v>
      </c>
      <c r="E6" s="64">
        <v>0</v>
      </c>
      <c r="F6" s="64">
        <v>2147483648</v>
      </c>
      <c r="G6" s="64" t="s">
        <v>91</v>
      </c>
      <c r="H6" s="94"/>
    </row>
    <row r="7" spans="1:8" x14ac:dyDescent="0.25">
      <c r="A7" s="1">
        <f t="shared" si="0"/>
        <v>5</v>
      </c>
      <c r="B7" s="2" t="str">
        <f>DEC2HEX('Memory  Map'!$B$7+(Lead!A7 * 4))</f>
        <v>3FBB4</v>
      </c>
      <c r="C7" s="5" t="s">
        <v>120</v>
      </c>
      <c r="D7" s="98">
        <v>4294967295</v>
      </c>
      <c r="G7" s="2"/>
    </row>
    <row r="8" spans="1:8" x14ac:dyDescent="0.25">
      <c r="A8" s="95">
        <f t="shared" si="0"/>
        <v>6</v>
      </c>
      <c r="B8" s="64" t="str">
        <f>DEC2HEX('Memory  Map'!$B$7+(Lead!A8 * 4))</f>
        <v>3FBB8</v>
      </c>
      <c r="C8" s="97" t="s">
        <v>120</v>
      </c>
      <c r="D8" s="98">
        <v>4294967295</v>
      </c>
      <c r="E8" s="64"/>
      <c r="F8" s="64"/>
      <c r="G8" s="64"/>
      <c r="H8" s="94"/>
    </row>
    <row r="9" spans="1:8" x14ac:dyDescent="0.25">
      <c r="A9" s="1">
        <f t="shared" si="0"/>
        <v>7</v>
      </c>
      <c r="B9" s="2" t="str">
        <f>DEC2HEX('Memory  Map'!$B$7+(Lead!A9 * 4))</f>
        <v>3FBBC</v>
      </c>
      <c r="C9" s="5" t="s">
        <v>120</v>
      </c>
      <c r="D9" s="98">
        <v>4294967295</v>
      </c>
      <c r="G9" s="2"/>
    </row>
    <row r="10" spans="1:8" x14ac:dyDescent="0.25">
      <c r="A10" s="95">
        <f t="shared" si="0"/>
        <v>8</v>
      </c>
      <c r="B10" s="64" t="str">
        <f>DEC2HEX('Memory  Map'!$B$7+(Lead!A10 * 4))</f>
        <v>3FBC0</v>
      </c>
      <c r="C10" s="97" t="s">
        <v>120</v>
      </c>
      <c r="D10" s="98">
        <v>4294967295</v>
      </c>
      <c r="E10" s="64"/>
      <c r="F10" s="64"/>
      <c r="G10" s="64"/>
      <c r="H10" s="94"/>
    </row>
    <row r="11" spans="1:8" x14ac:dyDescent="0.25">
      <c r="A11" s="1">
        <f t="shared" si="0"/>
        <v>9</v>
      </c>
      <c r="B11" s="2" t="str">
        <f>DEC2HEX('Memory  Map'!$B$7+(Lead!A11 * 4))</f>
        <v>3FBC4</v>
      </c>
      <c r="C11" s="5" t="s">
        <v>120</v>
      </c>
      <c r="D11" s="98">
        <v>4294967295</v>
      </c>
      <c r="G11" s="2"/>
    </row>
    <row r="12" spans="1:8" x14ac:dyDescent="0.25">
      <c r="A12" s="95">
        <f t="shared" si="0"/>
        <v>10</v>
      </c>
      <c r="B12" s="64" t="str">
        <f>DEC2HEX('Memory  Map'!$B$7+(Lead!A12 * 4))</f>
        <v>3FBC8</v>
      </c>
      <c r="C12" s="97" t="s">
        <v>120</v>
      </c>
      <c r="D12" s="98">
        <v>4294967295</v>
      </c>
      <c r="E12" s="64"/>
      <c r="F12" s="64"/>
      <c r="G12" s="64"/>
      <c r="H12" s="94"/>
    </row>
    <row r="13" spans="1:8" x14ac:dyDescent="0.25">
      <c r="A13" s="1">
        <f t="shared" si="0"/>
        <v>11</v>
      </c>
      <c r="B13" s="2" t="str">
        <f>DEC2HEX('Memory  Map'!$B$7+(Lead!A13 * 4))</f>
        <v>3FBCC</v>
      </c>
      <c r="C13" s="5" t="s">
        <v>120</v>
      </c>
      <c r="D13" s="98">
        <v>4294967295</v>
      </c>
      <c r="G13" s="2"/>
    </row>
    <row r="14" spans="1:8" x14ac:dyDescent="0.25">
      <c r="A14" s="95">
        <f t="shared" si="0"/>
        <v>12</v>
      </c>
      <c r="B14" s="64" t="str">
        <f>DEC2HEX('Memory  Map'!$B$7+(Lead!A14 * 4))</f>
        <v>3FBD0</v>
      </c>
      <c r="C14" s="97" t="s">
        <v>120</v>
      </c>
      <c r="D14" s="98">
        <v>4294967295</v>
      </c>
      <c r="E14" s="64"/>
      <c r="F14" s="64"/>
      <c r="G14" s="64"/>
      <c r="H14" s="94"/>
    </row>
    <row r="15" spans="1:8" x14ac:dyDescent="0.25">
      <c r="A15" s="1">
        <f t="shared" si="0"/>
        <v>13</v>
      </c>
      <c r="B15" s="2" t="str">
        <f>DEC2HEX('Memory  Map'!$B$7+(Lead!A15 * 4))</f>
        <v>3FBD4</v>
      </c>
      <c r="C15" s="5" t="s">
        <v>120</v>
      </c>
      <c r="D15" s="98">
        <v>4294967295</v>
      </c>
      <c r="G15" s="2"/>
    </row>
    <row r="16" spans="1:8" x14ac:dyDescent="0.25">
      <c r="A16" s="95">
        <f t="shared" si="0"/>
        <v>14</v>
      </c>
      <c r="B16" s="64" t="str">
        <f>DEC2HEX('Memory  Map'!$B$7+(Lead!A16 * 4))</f>
        <v>3FBD8</v>
      </c>
      <c r="C16" s="97" t="s">
        <v>120</v>
      </c>
      <c r="D16" s="98">
        <v>4294967295</v>
      </c>
      <c r="E16" s="64"/>
      <c r="F16" s="64"/>
      <c r="G16" s="64"/>
      <c r="H16" s="94"/>
    </row>
    <row r="17" spans="1:8" x14ac:dyDescent="0.25">
      <c r="A17" s="1">
        <f t="shared" si="0"/>
        <v>15</v>
      </c>
      <c r="B17" s="2" t="str">
        <f>DEC2HEX('Memory  Map'!$B$7+(Lead!A17 * 4))</f>
        <v>3FBDC</v>
      </c>
      <c r="C17" s="5" t="s">
        <v>120</v>
      </c>
      <c r="D17" s="98">
        <v>4294967295</v>
      </c>
      <c r="G17" s="2"/>
    </row>
    <row r="18" spans="1:8" x14ac:dyDescent="0.25">
      <c r="A18" s="95">
        <f t="shared" si="0"/>
        <v>16</v>
      </c>
      <c r="B18" s="64" t="str">
        <f>DEC2HEX('Memory  Map'!$B$7+(Lead!A18 * 4))</f>
        <v>3FBE0</v>
      </c>
      <c r="C18" s="97" t="s">
        <v>120</v>
      </c>
      <c r="D18" s="98">
        <v>4294967295</v>
      </c>
      <c r="E18" s="64"/>
      <c r="F18" s="64"/>
      <c r="G18" s="64"/>
      <c r="H18" s="94"/>
    </row>
    <row r="19" spans="1:8" x14ac:dyDescent="0.25">
      <c r="A19" s="1">
        <f t="shared" si="0"/>
        <v>17</v>
      </c>
      <c r="B19" s="2" t="str">
        <f>DEC2HEX('Memory  Map'!$B$7+(Lead!A19 * 4))</f>
        <v>3FBE4</v>
      </c>
      <c r="C19" s="5" t="s">
        <v>120</v>
      </c>
      <c r="D19" s="98">
        <v>4294967295</v>
      </c>
      <c r="G19" s="2"/>
    </row>
    <row r="20" spans="1:8" x14ac:dyDescent="0.25">
      <c r="A20" s="95">
        <f t="shared" si="0"/>
        <v>18</v>
      </c>
      <c r="B20" s="64" t="str">
        <f>DEC2HEX('Memory  Map'!$B$7+(Lead!A20 * 4))</f>
        <v>3FBE8</v>
      </c>
      <c r="C20" s="97" t="s">
        <v>120</v>
      </c>
      <c r="D20" s="98">
        <v>4294967295</v>
      </c>
      <c r="E20" s="64"/>
      <c r="F20" s="64"/>
      <c r="G20" s="64"/>
      <c r="H20" s="94"/>
    </row>
    <row r="21" spans="1:8" x14ac:dyDescent="0.25">
      <c r="A21" s="1">
        <f t="shared" si="0"/>
        <v>19</v>
      </c>
      <c r="B21" s="2" t="str">
        <f>DEC2HEX('Memory  Map'!$B$7+(Lead!A21 * 4))</f>
        <v>3FBEC</v>
      </c>
      <c r="C21" s="5" t="s">
        <v>120</v>
      </c>
      <c r="D21" s="98">
        <v>4294967295</v>
      </c>
      <c r="G21" s="2"/>
    </row>
    <row r="22" spans="1:8" x14ac:dyDescent="0.25">
      <c r="A22" s="95">
        <f t="shared" si="0"/>
        <v>20</v>
      </c>
      <c r="B22" s="64" t="str">
        <f>DEC2HEX('Memory  Map'!$B$7+(Lead!A22 * 4))</f>
        <v>3FBF0</v>
      </c>
      <c r="C22" s="97" t="s">
        <v>120</v>
      </c>
      <c r="D22" s="98">
        <v>4294967295</v>
      </c>
      <c r="E22" s="64"/>
      <c r="F22" s="64"/>
      <c r="G22" s="64"/>
      <c r="H22" s="94"/>
    </row>
    <row r="23" spans="1:8" x14ac:dyDescent="0.25">
      <c r="A23" s="1">
        <f t="shared" si="0"/>
        <v>21</v>
      </c>
      <c r="B23" s="2" t="str">
        <f>DEC2HEX('Memory  Map'!$B$7+(Lead!A23 * 4))</f>
        <v>3FBF4</v>
      </c>
      <c r="C23" s="5" t="s">
        <v>120</v>
      </c>
      <c r="D23" s="98">
        <v>4294967295</v>
      </c>
      <c r="G23" s="2"/>
    </row>
    <row r="24" spans="1:8" x14ac:dyDescent="0.25">
      <c r="A24" s="95">
        <f t="shared" si="0"/>
        <v>22</v>
      </c>
      <c r="B24" s="64" t="str">
        <f>DEC2HEX('Memory  Map'!$B$7+(Lead!A24 * 4))</f>
        <v>3FBF8</v>
      </c>
      <c r="C24" s="97" t="s">
        <v>120</v>
      </c>
      <c r="D24" s="98">
        <v>4294967295</v>
      </c>
      <c r="E24" s="64"/>
      <c r="F24" s="64"/>
      <c r="G24" s="64"/>
      <c r="H24" s="94"/>
    </row>
    <row r="25" spans="1:8" x14ac:dyDescent="0.25">
      <c r="A25" s="1">
        <f t="shared" si="0"/>
        <v>23</v>
      </c>
      <c r="B25" s="2" t="str">
        <f>DEC2HEX('Memory  Map'!$B$7+(Lead!A25 * 4))</f>
        <v>3FBFC</v>
      </c>
      <c r="C25" s="5" t="s">
        <v>120</v>
      </c>
      <c r="D25" s="98">
        <v>4294967295</v>
      </c>
      <c r="G25" s="2"/>
    </row>
    <row r="26" spans="1:8" x14ac:dyDescent="0.25">
      <c r="A26" s="95">
        <f t="shared" si="0"/>
        <v>24</v>
      </c>
      <c r="B26" s="64" t="str">
        <f>DEC2HEX('Memory  Map'!$B$7+(Lead!A26 * 4))</f>
        <v>3FC00</v>
      </c>
      <c r="C26" s="97" t="s">
        <v>120</v>
      </c>
      <c r="D26" s="98">
        <v>4294967295</v>
      </c>
      <c r="E26" s="64"/>
      <c r="F26" s="64"/>
      <c r="G26" s="64"/>
      <c r="H26" s="94"/>
    </row>
    <row r="27" spans="1:8" x14ac:dyDescent="0.25">
      <c r="A27" s="1">
        <f t="shared" si="0"/>
        <v>25</v>
      </c>
      <c r="B27" s="2" t="str">
        <f>DEC2HEX('Memory  Map'!$B$7+(Lead!A27 * 4))</f>
        <v>3FC04</v>
      </c>
      <c r="C27" s="5" t="s">
        <v>120</v>
      </c>
      <c r="D27" s="98">
        <v>4294967295</v>
      </c>
      <c r="G27" s="2"/>
    </row>
    <row r="28" spans="1:8" x14ac:dyDescent="0.25">
      <c r="A28" s="95">
        <f t="shared" si="0"/>
        <v>26</v>
      </c>
      <c r="B28" s="64" t="str">
        <f>DEC2HEX('Memory  Map'!$B$7+(Lead!A28 * 4))</f>
        <v>3FC08</v>
      </c>
      <c r="C28" s="97" t="s">
        <v>120</v>
      </c>
      <c r="D28" s="98">
        <v>4294967295</v>
      </c>
      <c r="E28" s="64"/>
      <c r="F28" s="64"/>
      <c r="G28" s="64"/>
      <c r="H28" s="94"/>
    </row>
    <row r="29" spans="1:8" x14ac:dyDescent="0.25">
      <c r="A29" s="1">
        <f t="shared" si="0"/>
        <v>27</v>
      </c>
      <c r="B29" s="2" t="str">
        <f>DEC2HEX('Memory  Map'!$B$7+(Lead!A29 * 4))</f>
        <v>3FC0C</v>
      </c>
      <c r="C29" s="5" t="s">
        <v>120</v>
      </c>
      <c r="D29" s="98">
        <v>4294967295</v>
      </c>
      <c r="G29" s="2"/>
    </row>
    <row r="30" spans="1:8" x14ac:dyDescent="0.25">
      <c r="A30" s="95">
        <f t="shared" si="0"/>
        <v>28</v>
      </c>
      <c r="B30" s="64" t="str">
        <f>DEC2HEX('Memory  Map'!$B$7+(Lead!A30 * 4))</f>
        <v>3FC10</v>
      </c>
      <c r="C30" s="97" t="s">
        <v>120</v>
      </c>
      <c r="D30" s="98">
        <v>4294967295</v>
      </c>
      <c r="E30" s="64"/>
      <c r="F30" s="64"/>
      <c r="G30" s="64"/>
      <c r="H30" s="94"/>
    </row>
    <row r="31" spans="1:8" x14ac:dyDescent="0.25">
      <c r="A31" s="1">
        <f t="shared" si="0"/>
        <v>29</v>
      </c>
      <c r="B31" s="2" t="str">
        <f>DEC2HEX('Memory  Map'!$B$7+(Lead!A31 * 4))</f>
        <v>3FC14</v>
      </c>
      <c r="C31" s="5" t="s">
        <v>120</v>
      </c>
      <c r="D31" s="98">
        <v>4294967295</v>
      </c>
      <c r="G31" s="2"/>
    </row>
    <row r="32" spans="1:8" x14ac:dyDescent="0.25">
      <c r="A32" s="95">
        <f t="shared" si="0"/>
        <v>30</v>
      </c>
      <c r="B32" s="64" t="str">
        <f>DEC2HEX('Memory  Map'!$B$7+(Lead!A32 * 4))</f>
        <v>3FC18</v>
      </c>
      <c r="C32" s="97" t="s">
        <v>120</v>
      </c>
      <c r="D32" s="98">
        <v>4294967295</v>
      </c>
      <c r="E32" s="64"/>
      <c r="F32" s="64"/>
      <c r="G32" s="64"/>
      <c r="H32" s="94"/>
    </row>
    <row r="33" spans="1:7" x14ac:dyDescent="0.25">
      <c r="A33" s="1">
        <f t="shared" si="0"/>
        <v>31</v>
      </c>
      <c r="B33" s="2" t="str">
        <f>DEC2HEX('Memory  Map'!$B$7+(Lead!A33 * 4))</f>
        <v>3FC1C</v>
      </c>
      <c r="C33" s="5" t="s">
        <v>120</v>
      </c>
      <c r="D33" s="98">
        <v>4294967295</v>
      </c>
      <c r="G33" s="2"/>
    </row>
    <row r="34" spans="1:7" x14ac:dyDescent="0.25">
      <c r="A34" s="1"/>
      <c r="G34" s="2"/>
    </row>
    <row r="35" spans="1:7" x14ac:dyDescent="0.25">
      <c r="A35" s="1"/>
      <c r="G35" s="2"/>
    </row>
    <row r="36" spans="1:7" x14ac:dyDescent="0.25">
      <c r="A36" s="1"/>
      <c r="G36" s="2"/>
    </row>
    <row r="37" spans="1:7" x14ac:dyDescent="0.25">
      <c r="A37" s="1"/>
      <c r="G37" s="2"/>
    </row>
    <row r="38" spans="1:7" x14ac:dyDescent="0.25">
      <c r="A38" s="1"/>
      <c r="G38" s="2"/>
    </row>
    <row r="39" spans="1:7" x14ac:dyDescent="0.25">
      <c r="A39" s="1"/>
      <c r="G39" s="2"/>
    </row>
    <row r="40" spans="1:7" x14ac:dyDescent="0.25">
      <c r="A40" s="1"/>
      <c r="G40" s="2"/>
    </row>
    <row r="41" spans="1:7" x14ac:dyDescent="0.25">
      <c r="A41" s="1"/>
      <c r="G41" s="2"/>
    </row>
    <row r="42" spans="1:7" x14ac:dyDescent="0.25">
      <c r="E42"/>
      <c r="F42"/>
    </row>
    <row r="43" spans="1:7" x14ac:dyDescent="0.25">
      <c r="E43"/>
      <c r="F43"/>
    </row>
    <row r="44" spans="1:7" x14ac:dyDescent="0.25">
      <c r="E44"/>
      <c r="F44"/>
    </row>
  </sheetData>
  <dataValidations count="1">
    <dataValidation type="whole" allowBlank="1" showInputMessage="1" showErrorMessage="1" sqref="D5" xr:uid="{403A6F8A-C698-4F6A-A674-963687185240}">
      <formula1>0</formula1>
      <formula2>4294967295</formula2>
    </dataValidation>
  </dataValidations>
  <pageMargins left="0.7" right="0.7" top="0.75" bottom="0.75" header="0.3" footer="0.3"/>
  <pageSetup orientation="portrait" horizontalDpi="1200" verticalDpi="1200" r:id="rId1"/>
  <legacyDrawing r:id="rId2"/>
  <extLst>
    <ext xmlns:x14="http://schemas.microsoft.com/office/spreadsheetml/2009/9/main" uri="{CCE6A557-97BC-4b89-ADB6-D9C93CAAB3DF}">
      <x14:dataValidations xmlns:xm="http://schemas.microsoft.com/office/excel/2006/main" count="1">
        <x14:dataValidation type="whole" allowBlank="1" showInputMessage="1" showErrorMessage="1" xr:uid="{7B88B77D-CBA5-4B24-93F6-725EEBB4B33A}">
          <x14:formula1>
            <xm:f>1</xm:f>
          </x14:formula1>
          <x14:formula2>
            <xm:f>Motor!D12</xm:f>
          </x14:formula2>
          <xm:sqref>D6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H33"/>
  <sheetViews>
    <sheetView workbookViewId="0">
      <selection activeCell="D4" sqref="D4"/>
    </sheetView>
  </sheetViews>
  <sheetFormatPr defaultRowHeight="15" x14ac:dyDescent="0.25"/>
  <cols>
    <col min="1" max="1" width="5.5703125" style="2" customWidth="1"/>
    <col min="2" max="2" width="22" style="2" customWidth="1"/>
    <col min="3" max="3" width="33.42578125" customWidth="1"/>
    <col min="4" max="4" width="13.140625" style="6" customWidth="1"/>
    <col min="5" max="5" width="0.140625" style="2" customWidth="1"/>
    <col min="6" max="6" width="16" style="2" hidden="1" customWidth="1"/>
    <col min="7" max="7" width="16.5703125" style="2" hidden="1" customWidth="1"/>
    <col min="8" max="8" width="41.7109375" customWidth="1"/>
  </cols>
  <sheetData>
    <row r="1" spans="1:8" x14ac:dyDescent="0.25">
      <c r="A1" s="2" t="s">
        <v>106</v>
      </c>
      <c r="B1" s="2" t="s">
        <v>103</v>
      </c>
      <c r="C1" s="1" t="s">
        <v>66</v>
      </c>
      <c r="D1" s="93" t="s">
        <v>92</v>
      </c>
      <c r="E1" s="1" t="s">
        <v>0</v>
      </c>
      <c r="F1" s="1" t="s">
        <v>1</v>
      </c>
      <c r="G1" s="1" t="s">
        <v>51</v>
      </c>
      <c r="H1" s="1" t="s">
        <v>98</v>
      </c>
    </row>
    <row r="2" spans="1:8" x14ac:dyDescent="0.25">
      <c r="A2" s="64">
        <v>0</v>
      </c>
      <c r="B2" s="64" t="str">
        <f>DEC2HEX('Memory  Map'!$B$8 + (A2 * 4))</f>
        <v>3FC20</v>
      </c>
      <c r="C2" s="97" t="s">
        <v>88</v>
      </c>
      <c r="D2" s="111" t="s">
        <v>172</v>
      </c>
      <c r="E2" s="64">
        <v>0</v>
      </c>
      <c r="F2" s="64">
        <v>4294967296</v>
      </c>
      <c r="G2" s="64" t="s">
        <v>77</v>
      </c>
      <c r="H2" s="94"/>
    </row>
    <row r="3" spans="1:8" x14ac:dyDescent="0.25">
      <c r="A3" s="2">
        <f>A2+1</f>
        <v>1</v>
      </c>
      <c r="B3" s="2" t="str">
        <f>DEC2HEX('Memory  Map'!$B$8 + (A3 * 4))</f>
        <v>3FC24</v>
      </c>
      <c r="C3" s="5" t="s">
        <v>89</v>
      </c>
      <c r="D3" s="111" t="s">
        <v>190</v>
      </c>
      <c r="E3" s="2">
        <v>0</v>
      </c>
      <c r="F3" s="2">
        <v>4294967296</v>
      </c>
      <c r="G3" s="2" t="s">
        <v>77</v>
      </c>
    </row>
    <row r="4" spans="1:8" x14ac:dyDescent="0.25">
      <c r="A4" s="64">
        <f t="shared" ref="A4:A33" si="0">A3+1</f>
        <v>2</v>
      </c>
      <c r="B4" s="64" t="str">
        <f>DEC2HEX('Memory  Map'!$B$8 + (A4 * 4))</f>
        <v>3FC28</v>
      </c>
      <c r="C4" s="97" t="s">
        <v>90</v>
      </c>
      <c r="D4" s="111" t="s">
        <v>190</v>
      </c>
      <c r="E4" s="64">
        <v>0</v>
      </c>
      <c r="F4" s="64">
        <v>4294967296</v>
      </c>
      <c r="G4" s="64" t="s">
        <v>77</v>
      </c>
      <c r="H4" s="94"/>
    </row>
    <row r="5" spans="1:8" x14ac:dyDescent="0.25">
      <c r="A5" s="2">
        <f t="shared" si="0"/>
        <v>3</v>
      </c>
      <c r="B5" s="2" t="str">
        <f>DEC2HEX('Memory  Map'!$B$8 + (A5 * 4))</f>
        <v>3FC2C</v>
      </c>
      <c r="C5" s="5" t="s">
        <v>64</v>
      </c>
      <c r="D5" s="98">
        <v>1000</v>
      </c>
      <c r="E5" s="2">
        <v>0</v>
      </c>
      <c r="F5" s="2">
        <v>2147483648</v>
      </c>
      <c r="G5" s="2" t="s">
        <v>91</v>
      </c>
    </row>
    <row r="6" spans="1:8" x14ac:dyDescent="0.25">
      <c r="A6" s="64">
        <f t="shared" si="0"/>
        <v>4</v>
      </c>
      <c r="B6" s="64" t="str">
        <f>DEC2HEX('Memory  Map'!$B$8 + (A6 * 4))</f>
        <v>3FC30</v>
      </c>
      <c r="C6" s="97" t="s">
        <v>65</v>
      </c>
      <c r="D6" s="98">
        <v>1</v>
      </c>
      <c r="E6" s="64">
        <v>0</v>
      </c>
      <c r="F6" s="64">
        <v>2147483648</v>
      </c>
      <c r="G6" s="64" t="s">
        <v>91</v>
      </c>
      <c r="H6" s="94"/>
    </row>
    <row r="7" spans="1:8" x14ac:dyDescent="0.25">
      <c r="A7" s="2">
        <f t="shared" si="0"/>
        <v>5</v>
      </c>
      <c r="B7" s="2" t="str">
        <f>DEC2HEX('Memory  Map'!$B$8 + (A7 * 4))</f>
        <v>3FC34</v>
      </c>
      <c r="C7" s="5" t="s">
        <v>121</v>
      </c>
      <c r="D7" s="98">
        <v>4294967295</v>
      </c>
    </row>
    <row r="8" spans="1:8" x14ac:dyDescent="0.25">
      <c r="A8" s="64">
        <f t="shared" si="0"/>
        <v>6</v>
      </c>
      <c r="B8" s="64" t="str">
        <f>DEC2HEX('Memory  Map'!$B$8 + (A8 * 4))</f>
        <v>3FC38</v>
      </c>
      <c r="C8" s="97" t="s">
        <v>121</v>
      </c>
      <c r="D8" s="98">
        <v>4294967295</v>
      </c>
      <c r="E8" s="64"/>
      <c r="F8" s="64"/>
      <c r="G8" s="64"/>
      <c r="H8" s="94"/>
    </row>
    <row r="9" spans="1:8" x14ac:dyDescent="0.25">
      <c r="A9" s="2">
        <f t="shared" si="0"/>
        <v>7</v>
      </c>
      <c r="B9" s="2" t="str">
        <f>DEC2HEX('Memory  Map'!$B$8 + (A9 * 4))</f>
        <v>3FC3C</v>
      </c>
      <c r="C9" s="5" t="s">
        <v>121</v>
      </c>
      <c r="D9" s="98">
        <v>4294967295</v>
      </c>
    </row>
    <row r="10" spans="1:8" x14ac:dyDescent="0.25">
      <c r="A10" s="64">
        <f t="shared" si="0"/>
        <v>8</v>
      </c>
      <c r="B10" s="64" t="str">
        <f>DEC2HEX('Memory  Map'!$B$8 + (A10 * 4))</f>
        <v>3FC40</v>
      </c>
      <c r="C10" s="97" t="s">
        <v>121</v>
      </c>
      <c r="D10" s="98">
        <v>4294967295</v>
      </c>
      <c r="E10" s="64"/>
      <c r="F10" s="64"/>
      <c r="G10" s="64"/>
      <c r="H10" s="94"/>
    </row>
    <row r="11" spans="1:8" x14ac:dyDescent="0.25">
      <c r="A11" s="2">
        <f t="shared" si="0"/>
        <v>9</v>
      </c>
      <c r="B11" s="2" t="str">
        <f>DEC2HEX('Memory  Map'!$B$8 + (A11 * 4))</f>
        <v>3FC44</v>
      </c>
      <c r="C11" s="5" t="s">
        <v>121</v>
      </c>
      <c r="D11" s="98">
        <v>4294967295</v>
      </c>
    </row>
    <row r="12" spans="1:8" x14ac:dyDescent="0.25">
      <c r="A12" s="64">
        <f t="shared" si="0"/>
        <v>10</v>
      </c>
      <c r="B12" s="64" t="str">
        <f>DEC2HEX('Memory  Map'!$B$8 + (A12 * 4))</f>
        <v>3FC48</v>
      </c>
      <c r="C12" s="97" t="s">
        <v>121</v>
      </c>
      <c r="D12" s="98">
        <v>4294967295</v>
      </c>
      <c r="E12" s="64"/>
      <c r="F12" s="64"/>
      <c r="G12" s="64"/>
      <c r="H12" s="94"/>
    </row>
    <row r="13" spans="1:8" x14ac:dyDescent="0.25">
      <c r="A13" s="2">
        <f t="shared" si="0"/>
        <v>11</v>
      </c>
      <c r="B13" s="2" t="str">
        <f>DEC2HEX('Memory  Map'!$B$8 + (A13 * 4))</f>
        <v>3FC4C</v>
      </c>
      <c r="C13" s="5" t="s">
        <v>121</v>
      </c>
      <c r="D13" s="98">
        <v>4294967295</v>
      </c>
    </row>
    <row r="14" spans="1:8" x14ac:dyDescent="0.25">
      <c r="A14" s="64">
        <f t="shared" si="0"/>
        <v>12</v>
      </c>
      <c r="B14" s="64" t="str">
        <f>DEC2HEX('Memory  Map'!$B$8 + (A14 * 4))</f>
        <v>3FC50</v>
      </c>
      <c r="C14" s="97" t="s">
        <v>121</v>
      </c>
      <c r="D14" s="98">
        <v>4294967295</v>
      </c>
      <c r="E14" s="64"/>
      <c r="F14" s="64"/>
      <c r="G14" s="64"/>
      <c r="H14" s="94"/>
    </row>
    <row r="15" spans="1:8" x14ac:dyDescent="0.25">
      <c r="A15" s="2">
        <f t="shared" si="0"/>
        <v>13</v>
      </c>
      <c r="B15" s="2" t="str">
        <f>DEC2HEX('Memory  Map'!$B$8 + (A15 * 4))</f>
        <v>3FC54</v>
      </c>
      <c r="C15" s="5" t="s">
        <v>121</v>
      </c>
      <c r="D15" s="98">
        <v>4294967295</v>
      </c>
    </row>
    <row r="16" spans="1:8" x14ac:dyDescent="0.25">
      <c r="A16" s="64">
        <f t="shared" si="0"/>
        <v>14</v>
      </c>
      <c r="B16" s="64" t="str">
        <f>DEC2HEX('Memory  Map'!$B$8 + (A16 * 4))</f>
        <v>3FC58</v>
      </c>
      <c r="C16" s="97" t="s">
        <v>121</v>
      </c>
      <c r="D16" s="98">
        <v>4294967295</v>
      </c>
      <c r="E16" s="64"/>
      <c r="F16" s="64"/>
      <c r="G16" s="64"/>
      <c r="H16" s="94"/>
    </row>
    <row r="17" spans="1:8" x14ac:dyDescent="0.25">
      <c r="A17" s="2">
        <f t="shared" si="0"/>
        <v>15</v>
      </c>
      <c r="B17" s="2" t="str">
        <f>DEC2HEX('Memory  Map'!$B$8 + (A17 * 4))</f>
        <v>3FC5C</v>
      </c>
      <c r="C17" s="5" t="s">
        <v>121</v>
      </c>
      <c r="D17" s="98">
        <v>4294967295</v>
      </c>
    </row>
    <row r="18" spans="1:8" x14ac:dyDescent="0.25">
      <c r="A18" s="64">
        <f t="shared" si="0"/>
        <v>16</v>
      </c>
      <c r="B18" s="64" t="str">
        <f>DEC2HEX('Memory  Map'!$B$8 + (A18 * 4))</f>
        <v>3FC60</v>
      </c>
      <c r="C18" s="97" t="s">
        <v>121</v>
      </c>
      <c r="D18" s="98">
        <v>4294967295</v>
      </c>
      <c r="E18" s="64"/>
      <c r="F18" s="64"/>
      <c r="G18" s="64"/>
      <c r="H18" s="94"/>
    </row>
    <row r="19" spans="1:8" x14ac:dyDescent="0.25">
      <c r="A19" s="2">
        <f t="shared" si="0"/>
        <v>17</v>
      </c>
      <c r="B19" s="2" t="str">
        <f>DEC2HEX('Memory  Map'!$B$8 + (A19 * 4))</f>
        <v>3FC64</v>
      </c>
      <c r="C19" s="5" t="s">
        <v>121</v>
      </c>
      <c r="D19" s="98">
        <v>4294967295</v>
      </c>
    </row>
    <row r="20" spans="1:8" x14ac:dyDescent="0.25">
      <c r="A20" s="64">
        <f t="shared" si="0"/>
        <v>18</v>
      </c>
      <c r="B20" s="64" t="str">
        <f>DEC2HEX('Memory  Map'!$B$8 + (A20 * 4))</f>
        <v>3FC68</v>
      </c>
      <c r="C20" s="97" t="s">
        <v>121</v>
      </c>
      <c r="D20" s="98">
        <v>4294967295</v>
      </c>
      <c r="E20" s="64"/>
      <c r="F20" s="64"/>
      <c r="G20" s="64"/>
      <c r="H20" s="94"/>
    </row>
    <row r="21" spans="1:8" x14ac:dyDescent="0.25">
      <c r="A21" s="2">
        <f t="shared" si="0"/>
        <v>19</v>
      </c>
      <c r="B21" s="2" t="str">
        <f>DEC2HEX('Memory  Map'!$B$8 + (A21 * 4))</f>
        <v>3FC6C</v>
      </c>
      <c r="C21" s="5" t="s">
        <v>121</v>
      </c>
      <c r="D21" s="98">
        <v>4294967295</v>
      </c>
    </row>
    <row r="22" spans="1:8" x14ac:dyDescent="0.25">
      <c r="A22" s="64">
        <f t="shared" si="0"/>
        <v>20</v>
      </c>
      <c r="B22" s="64" t="str">
        <f>DEC2HEX('Memory  Map'!$B$8 + (A22 * 4))</f>
        <v>3FC70</v>
      </c>
      <c r="C22" s="97" t="s">
        <v>121</v>
      </c>
      <c r="D22" s="98">
        <v>4294967295</v>
      </c>
      <c r="E22" s="64"/>
      <c r="F22" s="64"/>
      <c r="G22" s="64"/>
      <c r="H22" s="94"/>
    </row>
    <row r="23" spans="1:8" x14ac:dyDescent="0.25">
      <c r="A23" s="2">
        <f t="shared" si="0"/>
        <v>21</v>
      </c>
      <c r="B23" s="2" t="str">
        <f>DEC2HEX('Memory  Map'!$B$8 + (A23 * 4))</f>
        <v>3FC74</v>
      </c>
      <c r="C23" s="5" t="s">
        <v>121</v>
      </c>
      <c r="D23" s="98">
        <v>4294967295</v>
      </c>
    </row>
    <row r="24" spans="1:8" x14ac:dyDescent="0.25">
      <c r="A24" s="64">
        <f t="shared" si="0"/>
        <v>22</v>
      </c>
      <c r="B24" s="64" t="str">
        <f>DEC2HEX('Memory  Map'!$B$8 + (A24 * 4))</f>
        <v>3FC78</v>
      </c>
      <c r="C24" s="97" t="s">
        <v>121</v>
      </c>
      <c r="D24" s="98">
        <v>4294967295</v>
      </c>
      <c r="E24" s="64"/>
      <c r="F24" s="64"/>
      <c r="G24" s="64"/>
      <c r="H24" s="94"/>
    </row>
    <row r="25" spans="1:8" x14ac:dyDescent="0.25">
      <c r="A25" s="2">
        <f t="shared" si="0"/>
        <v>23</v>
      </c>
      <c r="B25" s="2" t="str">
        <f>DEC2HEX('Memory  Map'!$B$8 + (A25 * 4))</f>
        <v>3FC7C</v>
      </c>
      <c r="C25" s="5" t="s">
        <v>121</v>
      </c>
      <c r="D25" s="98">
        <v>4294967295</v>
      </c>
    </row>
    <row r="26" spans="1:8" x14ac:dyDescent="0.25">
      <c r="A26" s="64">
        <f t="shared" si="0"/>
        <v>24</v>
      </c>
      <c r="B26" s="64" t="str">
        <f>DEC2HEX('Memory  Map'!$B$8 + (A26 * 4))</f>
        <v>3FC80</v>
      </c>
      <c r="C26" s="97" t="s">
        <v>121</v>
      </c>
      <c r="D26" s="98">
        <v>4294967295</v>
      </c>
      <c r="E26" s="64"/>
      <c r="F26" s="64"/>
      <c r="G26" s="64"/>
      <c r="H26" s="94"/>
    </row>
    <row r="27" spans="1:8" x14ac:dyDescent="0.25">
      <c r="A27" s="2">
        <f t="shared" si="0"/>
        <v>25</v>
      </c>
      <c r="B27" s="2" t="str">
        <f>DEC2HEX('Memory  Map'!$B$8 + (A27 * 4))</f>
        <v>3FC84</v>
      </c>
      <c r="C27" s="5" t="s">
        <v>121</v>
      </c>
      <c r="D27" s="98">
        <v>4294967295</v>
      </c>
    </row>
    <row r="28" spans="1:8" x14ac:dyDescent="0.25">
      <c r="A28" s="64">
        <f t="shared" si="0"/>
        <v>26</v>
      </c>
      <c r="B28" s="64" t="str">
        <f>DEC2HEX('Memory  Map'!$B$8 + (A28 * 4))</f>
        <v>3FC88</v>
      </c>
      <c r="C28" s="97" t="s">
        <v>121</v>
      </c>
      <c r="D28" s="98">
        <v>4294967295</v>
      </c>
      <c r="E28" s="64"/>
      <c r="F28" s="64"/>
      <c r="G28" s="64"/>
      <c r="H28" s="94"/>
    </row>
    <row r="29" spans="1:8" x14ac:dyDescent="0.25">
      <c r="A29" s="2">
        <f t="shared" si="0"/>
        <v>27</v>
      </c>
      <c r="B29" s="2" t="str">
        <f>DEC2HEX('Memory  Map'!$B$8 + (A29 * 4))</f>
        <v>3FC8C</v>
      </c>
      <c r="C29" s="5" t="s">
        <v>121</v>
      </c>
      <c r="D29" s="98">
        <v>4294967295</v>
      </c>
    </row>
    <row r="30" spans="1:8" x14ac:dyDescent="0.25">
      <c r="A30" s="64">
        <f t="shared" si="0"/>
        <v>28</v>
      </c>
      <c r="B30" s="64" t="str">
        <f>DEC2HEX('Memory  Map'!$B$8 + (A30 * 4))</f>
        <v>3FC90</v>
      </c>
      <c r="C30" s="97" t="s">
        <v>121</v>
      </c>
      <c r="D30" s="98">
        <v>4294967295</v>
      </c>
      <c r="E30" s="64"/>
      <c r="F30" s="64"/>
      <c r="G30" s="64"/>
      <c r="H30" s="94"/>
    </row>
    <row r="31" spans="1:8" x14ac:dyDescent="0.25">
      <c r="A31" s="2">
        <f t="shared" si="0"/>
        <v>29</v>
      </c>
      <c r="B31" s="2" t="str">
        <f>DEC2HEX('Memory  Map'!$B$8 + (A31 * 4))</f>
        <v>3FC94</v>
      </c>
      <c r="C31" s="5" t="s">
        <v>121</v>
      </c>
      <c r="D31" s="98">
        <v>4294967295</v>
      </c>
    </row>
    <row r="32" spans="1:8" x14ac:dyDescent="0.25">
      <c r="A32" s="64">
        <f t="shared" si="0"/>
        <v>30</v>
      </c>
      <c r="B32" s="64" t="str">
        <f>DEC2HEX('Memory  Map'!$B$8 + (A32 * 4))</f>
        <v>3FC98</v>
      </c>
      <c r="C32" s="97" t="s">
        <v>121</v>
      </c>
      <c r="D32" s="98">
        <v>4294967295</v>
      </c>
      <c r="E32" s="64"/>
      <c r="F32" s="64"/>
      <c r="G32" s="64"/>
      <c r="H32" s="94"/>
    </row>
    <row r="33" spans="1:4" x14ac:dyDescent="0.25">
      <c r="A33" s="2">
        <f t="shared" si="0"/>
        <v>31</v>
      </c>
      <c r="B33" s="2" t="str">
        <f>DEC2HEX('Memory  Map'!$B$8 + (A33 * 4))</f>
        <v>3FC9C</v>
      </c>
      <c r="C33" s="5" t="s">
        <v>121</v>
      </c>
      <c r="D33" s="98">
        <v>4294967295</v>
      </c>
    </row>
  </sheetData>
  <dataValidations count="3">
    <dataValidation type="whole" showInputMessage="1" showErrorMessage="1" sqref="D5" xr:uid="{F3005B19-C739-4A69-A1BF-5FEB26417513}">
      <formula1>0</formula1>
      <formula2>4294967295</formula2>
    </dataValidation>
    <dataValidation type="whole" allowBlank="1" showInputMessage="1" showErrorMessage="1" sqref="D6" xr:uid="{A529225F-2128-4D2B-BF8E-8B2DCB603A10}">
      <formula1>1</formula1>
      <formula2>4294967295</formula2>
    </dataValidation>
    <dataValidation type="whole" allowBlank="1" showInputMessage="1" showErrorMessage="1" sqref="C5" xr:uid="{0E35B4D0-E26D-4A61-BEAF-67FE1740A8B1}">
      <formula1>0</formula1>
      <formula2>4294967295</formula2>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0"/>
  <sheetViews>
    <sheetView workbookViewId="0">
      <selection activeCell="C8" sqref="C8"/>
    </sheetView>
  </sheetViews>
  <sheetFormatPr defaultRowHeight="15" x14ac:dyDescent="0.25"/>
  <cols>
    <col min="1" max="1" width="9.140625" style="2"/>
    <col min="2" max="2" width="18.7109375" style="2" customWidth="1"/>
    <col min="3" max="3" width="38.7109375" customWidth="1"/>
    <col min="4" max="4" width="10.85546875" customWidth="1"/>
    <col min="5" max="5" width="0.28515625" customWidth="1"/>
    <col min="6" max="6" width="14.5703125" hidden="1" customWidth="1"/>
    <col min="7" max="7" width="15" hidden="1" customWidth="1"/>
    <col min="8" max="8" width="50.28515625" customWidth="1"/>
  </cols>
  <sheetData>
    <row r="1" spans="1:8" x14ac:dyDescent="0.25">
      <c r="A1" s="2" t="s">
        <v>106</v>
      </c>
      <c r="B1" s="2" t="s">
        <v>103</v>
      </c>
      <c r="C1" s="1" t="s">
        <v>66</v>
      </c>
      <c r="D1" s="93" t="s">
        <v>92</v>
      </c>
      <c r="E1" s="1" t="s">
        <v>0</v>
      </c>
      <c r="F1" s="1" t="s">
        <v>1</v>
      </c>
      <c r="G1" s="1" t="s">
        <v>51</v>
      </c>
      <c r="H1" s="1" t="s">
        <v>98</v>
      </c>
    </row>
    <row r="2" spans="1:8" ht="16.5" customHeight="1" x14ac:dyDescent="0.25">
      <c r="A2" s="64">
        <v>0</v>
      </c>
      <c r="B2" s="64" t="str">
        <f>DEC2HEX('Memory  Map'!$B$9 + (A2*4))</f>
        <v>3FCA0</v>
      </c>
      <c r="C2" s="97" t="s">
        <v>93</v>
      </c>
      <c r="D2" s="111" t="s">
        <v>172</v>
      </c>
      <c r="E2" s="64">
        <v>0</v>
      </c>
      <c r="F2" s="64">
        <v>4294967296</v>
      </c>
      <c r="G2" s="64" t="s">
        <v>77</v>
      </c>
      <c r="H2" s="94"/>
    </row>
    <row r="3" spans="1:8" ht="15.75" customHeight="1" x14ac:dyDescent="0.25">
      <c r="A3" s="2">
        <f>A2+1</f>
        <v>1</v>
      </c>
      <c r="B3" s="2" t="str">
        <f>DEC2HEX('Memory  Map'!$B$9 + (A3*4))</f>
        <v>3FCA4</v>
      </c>
      <c r="C3" s="5" t="s">
        <v>94</v>
      </c>
      <c r="D3" s="111"/>
      <c r="E3" s="2">
        <v>0</v>
      </c>
      <c r="F3" s="2">
        <v>4294967296</v>
      </c>
      <c r="G3" s="2" t="s">
        <v>77</v>
      </c>
    </row>
    <row r="4" spans="1:8" ht="15.75" customHeight="1" x14ac:dyDescent="0.25">
      <c r="A4" s="64">
        <f t="shared" ref="A4:A33" si="0">A3+1</f>
        <v>2</v>
      </c>
      <c r="B4" s="64" t="str">
        <f>DEC2HEX('Memory  Map'!$B$9 + (A4*4))</f>
        <v>3FCA8</v>
      </c>
      <c r="C4" s="97" t="s">
        <v>95</v>
      </c>
      <c r="D4" s="111"/>
      <c r="E4" s="64">
        <v>0</v>
      </c>
      <c r="F4" s="64">
        <v>4294967296</v>
      </c>
      <c r="G4" s="64" t="s">
        <v>77</v>
      </c>
      <c r="H4" s="94"/>
    </row>
    <row r="5" spans="1:8" x14ac:dyDescent="0.25">
      <c r="A5" s="2">
        <f t="shared" si="0"/>
        <v>3</v>
      </c>
      <c r="B5" s="2" t="str">
        <f>DEC2HEX('Memory  Map'!$B$9 + (A5*4))</f>
        <v>3FCAC</v>
      </c>
      <c r="C5" s="5" t="s">
        <v>96</v>
      </c>
      <c r="D5" s="98">
        <v>0</v>
      </c>
      <c r="E5" s="2">
        <v>0</v>
      </c>
      <c r="F5" s="2">
        <v>2147483648</v>
      </c>
      <c r="G5" s="2" t="s">
        <v>91</v>
      </c>
    </row>
    <row r="6" spans="1:8" x14ac:dyDescent="0.25">
      <c r="A6" s="64">
        <f t="shared" si="0"/>
        <v>4</v>
      </c>
      <c r="B6" s="64" t="str">
        <f>DEC2HEX('Memory  Map'!$B$9 + (A6*4))</f>
        <v>3FCB0</v>
      </c>
      <c r="C6" s="97" t="s">
        <v>97</v>
      </c>
      <c r="D6" s="98">
        <v>0</v>
      </c>
      <c r="E6" s="64">
        <v>0</v>
      </c>
      <c r="F6" s="64">
        <v>2147483648</v>
      </c>
      <c r="G6" s="64" t="s">
        <v>91</v>
      </c>
      <c r="H6" s="94"/>
    </row>
    <row r="7" spans="1:8" x14ac:dyDescent="0.25">
      <c r="A7" s="2">
        <f t="shared" si="0"/>
        <v>5</v>
      </c>
      <c r="B7" s="2" t="str">
        <f>DEC2HEX('Memory  Map'!$B$9 + (A7*4))</f>
        <v>3FCB4</v>
      </c>
      <c r="C7" s="5" t="s">
        <v>122</v>
      </c>
      <c r="D7" s="98">
        <v>4294967295</v>
      </c>
      <c r="E7" s="2"/>
      <c r="F7" s="2"/>
      <c r="G7" s="2"/>
    </row>
    <row r="8" spans="1:8" x14ac:dyDescent="0.25">
      <c r="A8" s="64">
        <f t="shared" si="0"/>
        <v>6</v>
      </c>
      <c r="B8" s="64" t="str">
        <f>DEC2HEX('Memory  Map'!$B$9 + (A8*4))</f>
        <v>3FCB8</v>
      </c>
      <c r="C8" s="97" t="s">
        <v>122</v>
      </c>
      <c r="D8" s="98">
        <v>4294967295</v>
      </c>
      <c r="E8" s="64"/>
      <c r="F8" s="64"/>
      <c r="G8" s="64"/>
      <c r="H8" s="94"/>
    </row>
    <row r="9" spans="1:8" x14ac:dyDescent="0.25">
      <c r="A9" s="2">
        <f t="shared" si="0"/>
        <v>7</v>
      </c>
      <c r="B9" s="2" t="str">
        <f>DEC2HEX('Memory  Map'!$B$9 + (A9*4))</f>
        <v>3FCBC</v>
      </c>
      <c r="C9" s="5" t="s">
        <v>122</v>
      </c>
      <c r="D9" s="98">
        <v>4294967295</v>
      </c>
      <c r="E9" s="2"/>
      <c r="F9" s="2"/>
      <c r="G9" s="2"/>
    </row>
    <row r="10" spans="1:8" x14ac:dyDescent="0.25">
      <c r="A10" s="64">
        <f t="shared" si="0"/>
        <v>8</v>
      </c>
      <c r="B10" s="64" t="str">
        <f>DEC2HEX('Memory  Map'!$B$9 + (A10*4))</f>
        <v>3FCC0</v>
      </c>
      <c r="C10" s="97" t="s">
        <v>122</v>
      </c>
      <c r="D10" s="98">
        <v>4294967295</v>
      </c>
      <c r="E10" s="64"/>
      <c r="F10" s="64"/>
      <c r="G10" s="64"/>
      <c r="H10" s="94"/>
    </row>
    <row r="11" spans="1:8" x14ac:dyDescent="0.25">
      <c r="A11" s="2">
        <f t="shared" si="0"/>
        <v>9</v>
      </c>
      <c r="B11" s="2" t="str">
        <f>DEC2HEX('Memory  Map'!$B$9 + (A11*4))</f>
        <v>3FCC4</v>
      </c>
      <c r="C11" s="5" t="s">
        <v>122</v>
      </c>
      <c r="D11" s="98">
        <v>4294967295</v>
      </c>
      <c r="E11" s="2"/>
      <c r="F11" s="2"/>
      <c r="G11" s="2"/>
    </row>
    <row r="12" spans="1:8" x14ac:dyDescent="0.25">
      <c r="A12" s="64">
        <f t="shared" si="0"/>
        <v>10</v>
      </c>
      <c r="B12" s="64" t="str">
        <f>DEC2HEX('Memory  Map'!$B$9 + (A12*4))</f>
        <v>3FCC8</v>
      </c>
      <c r="C12" s="97" t="s">
        <v>122</v>
      </c>
      <c r="D12" s="98">
        <v>4294967295</v>
      </c>
      <c r="E12" s="64"/>
      <c r="F12" s="64"/>
      <c r="G12" s="64"/>
      <c r="H12" s="94"/>
    </row>
    <row r="13" spans="1:8" x14ac:dyDescent="0.25">
      <c r="A13" s="2">
        <f t="shared" si="0"/>
        <v>11</v>
      </c>
      <c r="B13" s="2" t="str">
        <f>DEC2HEX('Memory  Map'!$B$9 + (A13*4))</f>
        <v>3FCCC</v>
      </c>
      <c r="C13" s="5" t="s">
        <v>122</v>
      </c>
      <c r="D13" s="98">
        <v>4294967295</v>
      </c>
      <c r="E13" s="2"/>
      <c r="F13" s="2"/>
      <c r="G13" s="2"/>
    </row>
    <row r="14" spans="1:8" x14ac:dyDescent="0.25">
      <c r="A14" s="64">
        <f t="shared" si="0"/>
        <v>12</v>
      </c>
      <c r="B14" s="64" t="str">
        <f>DEC2HEX('Memory  Map'!$B$9 + (A14*4))</f>
        <v>3FCD0</v>
      </c>
      <c r="C14" s="97" t="s">
        <v>122</v>
      </c>
      <c r="D14" s="98">
        <v>4294967295</v>
      </c>
      <c r="E14" s="64"/>
      <c r="F14" s="64"/>
      <c r="G14" s="64"/>
      <c r="H14" s="94"/>
    </row>
    <row r="15" spans="1:8" x14ac:dyDescent="0.25">
      <c r="A15" s="2">
        <f t="shared" si="0"/>
        <v>13</v>
      </c>
      <c r="B15" s="2" t="str">
        <f>DEC2HEX('Memory  Map'!$B$9 + (A15*4))</f>
        <v>3FCD4</v>
      </c>
      <c r="C15" s="5" t="s">
        <v>122</v>
      </c>
      <c r="D15" s="98">
        <v>4294967295</v>
      </c>
      <c r="E15" s="2"/>
      <c r="F15" s="2"/>
      <c r="G15" s="2"/>
    </row>
    <row r="16" spans="1:8" x14ac:dyDescent="0.25">
      <c r="A16" s="64">
        <f t="shared" si="0"/>
        <v>14</v>
      </c>
      <c r="B16" s="64" t="str">
        <f>DEC2HEX('Memory  Map'!$B$9 + (A16*4))</f>
        <v>3FCD8</v>
      </c>
      <c r="C16" s="97" t="s">
        <v>122</v>
      </c>
      <c r="D16" s="98">
        <v>4294967295</v>
      </c>
      <c r="E16" s="64"/>
      <c r="F16" s="64"/>
      <c r="G16" s="64"/>
      <c r="H16" s="94"/>
    </row>
    <row r="17" spans="1:8" x14ac:dyDescent="0.25">
      <c r="A17" s="2">
        <f t="shared" si="0"/>
        <v>15</v>
      </c>
      <c r="B17" s="2" t="str">
        <f>DEC2HEX('Memory  Map'!$B$9 + (A17*4))</f>
        <v>3FCDC</v>
      </c>
      <c r="C17" s="5" t="s">
        <v>122</v>
      </c>
      <c r="D17" s="98">
        <v>4294967295</v>
      </c>
      <c r="E17" s="2"/>
      <c r="F17" s="2"/>
      <c r="G17" s="2"/>
    </row>
    <row r="18" spans="1:8" x14ac:dyDescent="0.25">
      <c r="A18" s="64">
        <f t="shared" si="0"/>
        <v>16</v>
      </c>
      <c r="B18" s="64" t="str">
        <f>DEC2HEX('Memory  Map'!$B$9 + (A18*4))</f>
        <v>3FCE0</v>
      </c>
      <c r="C18" s="97" t="s">
        <v>122</v>
      </c>
      <c r="D18" s="98">
        <v>4294967295</v>
      </c>
      <c r="E18" s="64"/>
      <c r="F18" s="64"/>
      <c r="G18" s="64"/>
      <c r="H18" s="94"/>
    </row>
    <row r="19" spans="1:8" x14ac:dyDescent="0.25">
      <c r="A19" s="2">
        <f t="shared" si="0"/>
        <v>17</v>
      </c>
      <c r="B19" s="2" t="str">
        <f>DEC2HEX('Memory  Map'!$B$9 + (A19*4))</f>
        <v>3FCE4</v>
      </c>
      <c r="C19" s="5" t="s">
        <v>122</v>
      </c>
      <c r="D19" s="98">
        <v>4294967295</v>
      </c>
      <c r="E19" s="2"/>
      <c r="F19" s="2"/>
      <c r="G19" s="2"/>
    </row>
    <row r="20" spans="1:8" x14ac:dyDescent="0.25">
      <c r="A20" s="64">
        <f t="shared" si="0"/>
        <v>18</v>
      </c>
      <c r="B20" s="64" t="str">
        <f>DEC2HEX('Memory  Map'!$B$9 + (A20*4))</f>
        <v>3FCE8</v>
      </c>
      <c r="C20" s="97" t="s">
        <v>122</v>
      </c>
      <c r="D20" s="98">
        <v>4294967295</v>
      </c>
      <c r="E20" s="64"/>
      <c r="F20" s="64"/>
      <c r="G20" s="64"/>
      <c r="H20" s="94"/>
    </row>
    <row r="21" spans="1:8" x14ac:dyDescent="0.25">
      <c r="A21" s="2">
        <f t="shared" si="0"/>
        <v>19</v>
      </c>
      <c r="B21" s="2" t="str">
        <f>DEC2HEX('Memory  Map'!$B$9 + (A21*4))</f>
        <v>3FCEC</v>
      </c>
      <c r="C21" s="5" t="s">
        <v>122</v>
      </c>
      <c r="D21" s="98">
        <v>4294967295</v>
      </c>
      <c r="E21" s="2"/>
      <c r="F21" s="2"/>
      <c r="G21" s="2"/>
    </row>
    <row r="22" spans="1:8" x14ac:dyDescent="0.25">
      <c r="A22" s="64">
        <f t="shared" si="0"/>
        <v>20</v>
      </c>
      <c r="B22" s="64" t="str">
        <f>DEC2HEX('Memory  Map'!$B$9 + (A22*4))</f>
        <v>3FCF0</v>
      </c>
      <c r="C22" s="97" t="s">
        <v>122</v>
      </c>
      <c r="D22" s="98">
        <v>4294967295</v>
      </c>
      <c r="E22" s="64"/>
      <c r="F22" s="64"/>
      <c r="G22" s="64"/>
      <c r="H22" s="94"/>
    </row>
    <row r="23" spans="1:8" x14ac:dyDescent="0.25">
      <c r="A23" s="2">
        <f t="shared" si="0"/>
        <v>21</v>
      </c>
      <c r="B23" s="2" t="str">
        <f>DEC2HEX('Memory  Map'!$B$9 + (A23*4))</f>
        <v>3FCF4</v>
      </c>
      <c r="C23" s="5" t="s">
        <v>122</v>
      </c>
      <c r="D23" s="98">
        <v>4294967295</v>
      </c>
      <c r="E23" s="2"/>
      <c r="F23" s="2"/>
      <c r="G23" s="2"/>
    </row>
    <row r="24" spans="1:8" x14ac:dyDescent="0.25">
      <c r="A24" s="64">
        <f t="shared" si="0"/>
        <v>22</v>
      </c>
      <c r="B24" s="64" t="str">
        <f>DEC2HEX('Memory  Map'!$B$9 + (A24*4))</f>
        <v>3FCF8</v>
      </c>
      <c r="C24" s="97" t="s">
        <v>122</v>
      </c>
      <c r="D24" s="98">
        <v>4294967295</v>
      </c>
      <c r="E24" s="64"/>
      <c r="F24" s="64"/>
      <c r="G24" s="64"/>
      <c r="H24" s="94"/>
    </row>
    <row r="25" spans="1:8" x14ac:dyDescent="0.25">
      <c r="A25" s="2">
        <f t="shared" si="0"/>
        <v>23</v>
      </c>
      <c r="B25" s="2" t="str">
        <f>DEC2HEX('Memory  Map'!$B$9 + (A25*4))</f>
        <v>3FCFC</v>
      </c>
      <c r="C25" s="5" t="s">
        <v>122</v>
      </c>
      <c r="D25" s="98">
        <v>4294967295</v>
      </c>
      <c r="E25" s="2"/>
      <c r="F25" s="2"/>
      <c r="G25" s="2"/>
    </row>
    <row r="26" spans="1:8" x14ac:dyDescent="0.25">
      <c r="A26" s="64">
        <f t="shared" si="0"/>
        <v>24</v>
      </c>
      <c r="B26" s="64" t="str">
        <f>DEC2HEX('Memory  Map'!$B$9 + (A26*4))</f>
        <v>3FD00</v>
      </c>
      <c r="C26" s="97" t="s">
        <v>122</v>
      </c>
      <c r="D26" s="98">
        <v>4294967295</v>
      </c>
      <c r="E26" s="64"/>
      <c r="F26" s="64"/>
      <c r="G26" s="64"/>
      <c r="H26" s="94"/>
    </row>
    <row r="27" spans="1:8" x14ac:dyDescent="0.25">
      <c r="A27" s="2">
        <f t="shared" si="0"/>
        <v>25</v>
      </c>
      <c r="B27" s="2" t="str">
        <f>DEC2HEX('Memory  Map'!$B$9 + (A27*4))</f>
        <v>3FD04</v>
      </c>
      <c r="C27" s="5" t="s">
        <v>122</v>
      </c>
      <c r="D27" s="98">
        <v>4294967295</v>
      </c>
      <c r="E27" s="2"/>
      <c r="F27" s="2"/>
      <c r="G27" s="2"/>
    </row>
    <row r="28" spans="1:8" x14ac:dyDescent="0.25">
      <c r="A28" s="64">
        <f t="shared" si="0"/>
        <v>26</v>
      </c>
      <c r="B28" s="64" t="str">
        <f>DEC2HEX('Memory  Map'!$B$9 + (A28*4))</f>
        <v>3FD08</v>
      </c>
      <c r="C28" s="97" t="s">
        <v>122</v>
      </c>
      <c r="D28" s="98">
        <v>4294967295</v>
      </c>
      <c r="E28" s="64"/>
      <c r="F28" s="64"/>
      <c r="G28" s="64"/>
      <c r="H28" s="94"/>
    </row>
    <row r="29" spans="1:8" x14ac:dyDescent="0.25">
      <c r="A29" s="2">
        <f t="shared" si="0"/>
        <v>27</v>
      </c>
      <c r="B29" s="2" t="str">
        <f>DEC2HEX('Memory  Map'!$B$9 + (A29*4))</f>
        <v>3FD0C</v>
      </c>
      <c r="C29" s="5" t="s">
        <v>122</v>
      </c>
      <c r="D29" s="98">
        <v>4294967295</v>
      </c>
      <c r="E29" s="2"/>
      <c r="F29" s="2"/>
      <c r="G29" s="2"/>
    </row>
    <row r="30" spans="1:8" x14ac:dyDescent="0.25">
      <c r="A30" s="64">
        <f t="shared" si="0"/>
        <v>28</v>
      </c>
      <c r="B30" s="64" t="str">
        <f>DEC2HEX('Memory  Map'!$B$9 + (A30*4))</f>
        <v>3FD10</v>
      </c>
      <c r="C30" s="97" t="s">
        <v>122</v>
      </c>
      <c r="D30" s="98">
        <v>4294967295</v>
      </c>
      <c r="E30" s="64"/>
      <c r="F30" s="64"/>
      <c r="G30" s="64"/>
      <c r="H30" s="94"/>
    </row>
    <row r="31" spans="1:8" x14ac:dyDescent="0.25">
      <c r="A31" s="2">
        <f t="shared" si="0"/>
        <v>29</v>
      </c>
      <c r="B31" s="2" t="str">
        <f>DEC2HEX('Memory  Map'!$B$9 + (A31*4))</f>
        <v>3FD14</v>
      </c>
      <c r="C31" s="5" t="s">
        <v>122</v>
      </c>
      <c r="D31" s="98">
        <v>4294967295</v>
      </c>
      <c r="E31" s="2"/>
      <c r="F31" s="2"/>
      <c r="G31" s="2"/>
    </row>
    <row r="32" spans="1:8" x14ac:dyDescent="0.25">
      <c r="A32" s="64">
        <f t="shared" si="0"/>
        <v>30</v>
      </c>
      <c r="B32" s="64" t="str">
        <f>DEC2HEX('Memory  Map'!$B$9 + (A32*4))</f>
        <v>3FD18</v>
      </c>
      <c r="C32" s="97" t="s">
        <v>122</v>
      </c>
      <c r="D32" s="98">
        <v>4294967295</v>
      </c>
      <c r="E32" s="64"/>
      <c r="F32" s="64"/>
      <c r="G32" s="64"/>
      <c r="H32" s="94"/>
    </row>
    <row r="33" spans="1:7" x14ac:dyDescent="0.25">
      <c r="A33" s="2">
        <f t="shared" si="0"/>
        <v>31</v>
      </c>
      <c r="B33" s="2" t="str">
        <f>DEC2HEX('Memory  Map'!$B$9 + (A33*4))</f>
        <v>3FD1C</v>
      </c>
      <c r="C33" s="5" t="s">
        <v>122</v>
      </c>
      <c r="D33" s="98">
        <v>4294967295</v>
      </c>
      <c r="E33" s="2"/>
      <c r="F33" s="2"/>
      <c r="G33" s="2"/>
    </row>
    <row r="34" spans="1:7" x14ac:dyDescent="0.25">
      <c r="D34" s="6"/>
      <c r="E34" s="2"/>
      <c r="F34" s="2"/>
      <c r="G34" s="2"/>
    </row>
    <row r="35" spans="1:7" x14ac:dyDescent="0.25">
      <c r="D35" s="6"/>
      <c r="E35" s="2"/>
      <c r="F35" s="2"/>
      <c r="G35" s="2"/>
    </row>
    <row r="36" spans="1:7" x14ac:dyDescent="0.25">
      <c r="D36" s="6"/>
      <c r="E36" s="2"/>
      <c r="F36" s="2"/>
      <c r="G36" s="2"/>
    </row>
    <row r="37" spans="1:7" x14ac:dyDescent="0.25">
      <c r="D37" s="6"/>
      <c r="E37" s="2"/>
      <c r="F37" s="2"/>
      <c r="G37" s="2"/>
    </row>
    <row r="38" spans="1:7" x14ac:dyDescent="0.25">
      <c r="D38" s="6"/>
      <c r="E38" s="2"/>
      <c r="F38" s="2"/>
      <c r="G38" s="2"/>
    </row>
    <row r="39" spans="1:7" x14ac:dyDescent="0.25">
      <c r="D39" s="6"/>
      <c r="E39" s="2"/>
      <c r="F39" s="2"/>
      <c r="G39" s="2"/>
    </row>
    <row r="40" spans="1:7" x14ac:dyDescent="0.25">
      <c r="D40" s="6"/>
      <c r="E40" s="2"/>
      <c r="F40" s="2"/>
      <c r="G40" s="2"/>
    </row>
  </sheetData>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2:C323"/>
  <sheetViews>
    <sheetView topLeftCell="A52" workbookViewId="0">
      <selection activeCell="B18" sqref="B18:C74"/>
    </sheetView>
  </sheetViews>
  <sheetFormatPr defaultRowHeight="15" x14ac:dyDescent="0.25"/>
  <cols>
    <col min="2" max="2" width="45.42578125" customWidth="1"/>
    <col min="3" max="3" width="8.85546875" customWidth="1"/>
    <col min="4" max="4" width="13.140625" customWidth="1"/>
  </cols>
  <sheetData>
    <row r="2" spans="2:3" ht="14.1" customHeight="1" x14ac:dyDescent="0.25">
      <c r="B2" s="9" t="str">
        <f>'Binary File'!B3</f>
        <v xml:space="preserve"> DEFAULT_ParameterSetRevisionNumber
</v>
      </c>
      <c r="C2" t="str">
        <f>'Binary File'!C3</f>
        <v>3F800</v>
      </c>
    </row>
    <row r="3" spans="2:3" ht="14.1" customHeight="1" x14ac:dyDescent="0.25">
      <c r="B3" s="9" t="str">
        <f>'Binary File'!B4</f>
        <v xml:space="preserve"> DEFAULT_ConfiguredModellNumber1</v>
      </c>
      <c r="C3" t="str">
        <f>'Binary File'!C4</f>
        <v>3F804</v>
      </c>
    </row>
    <row r="4" spans="2:3" ht="14.1" customHeight="1" x14ac:dyDescent="0.25">
      <c r="B4" s="9" t="str">
        <f>'Binary File'!B5</f>
        <v xml:space="preserve"> DEFAULT_ConfiguredModellNumber2</v>
      </c>
      <c r="C4" t="str">
        <f>'Binary File'!C5</f>
        <v>3F808</v>
      </c>
    </row>
    <row r="5" spans="2:3" ht="14.1" customHeight="1" x14ac:dyDescent="0.25">
      <c r="B5" s="9" t="str">
        <f>'Binary File'!B6</f>
        <v xml:space="preserve"> DEFAULT_ConfiguredModellNumber3</v>
      </c>
      <c r="C5" t="str">
        <f>'Binary File'!C6</f>
        <v>3F80C</v>
      </c>
    </row>
    <row r="6" spans="2:3" ht="14.1" customHeight="1" x14ac:dyDescent="0.25">
      <c r="B6" s="9" t="str">
        <f>'Binary File'!B7</f>
        <v xml:space="preserve"> DEFAULT_ConfiguredModellNumber4</v>
      </c>
      <c r="C6" t="str">
        <f>'Binary File'!C7</f>
        <v>3F810</v>
      </c>
    </row>
    <row r="7" spans="2:3" ht="14.1" customHeight="1" x14ac:dyDescent="0.25">
      <c r="B7" s="9" t="str">
        <f>'Binary File'!B8</f>
        <v xml:space="preserve"> DEFAULT_ConfiguredModellNumber5</v>
      </c>
      <c r="C7" t="str">
        <f>'Binary File'!C8</f>
        <v>3F814</v>
      </c>
    </row>
    <row r="8" spans="2:3" ht="14.1" customHeight="1" x14ac:dyDescent="0.25">
      <c r="B8" s="9" t="str">
        <f>'Binary File'!B9</f>
        <v xml:space="preserve"> DEFAULT_ConfiguredModellNumber6</v>
      </c>
      <c r="C8" t="str">
        <f>'Binary File'!C9</f>
        <v>3F818</v>
      </c>
    </row>
    <row r="9" spans="2:3" ht="14.1" customHeight="1" x14ac:dyDescent="0.25">
      <c r="B9" s="9" t="str">
        <f>'Binary File'!B10</f>
        <v xml:space="preserve"> DEFAULT_ConfiguredModellNumber7</v>
      </c>
      <c r="C9" t="str">
        <f>'Binary File'!C10</f>
        <v>3F81C</v>
      </c>
    </row>
    <row r="10" spans="2:3" ht="14.1" customHeight="1" x14ac:dyDescent="0.25">
      <c r="B10" s="9" t="str">
        <f>'Binary File'!B11</f>
        <v>DEFAULT_RESERVED_MODEL</v>
      </c>
      <c r="C10" t="str">
        <f>'Binary File'!C11</f>
        <v>3F820</v>
      </c>
    </row>
    <row r="11" spans="2:3" ht="14.1" customHeight="1" x14ac:dyDescent="0.25">
      <c r="B11" s="9" t="str">
        <f>'Binary File'!B12</f>
        <v>DEFAULT_RESERVED_MODEL</v>
      </c>
      <c r="C11" t="str">
        <f>'Binary File'!C12</f>
        <v>3F824</v>
      </c>
    </row>
    <row r="12" spans="2:3" ht="14.1" customHeight="1" x14ac:dyDescent="0.25">
      <c r="B12" s="9" t="str">
        <f>'Binary File'!B13</f>
        <v>DEFAULT_RESERVED_MODEL</v>
      </c>
      <c r="C12" t="str">
        <f>'Binary File'!C13</f>
        <v>3F828</v>
      </c>
    </row>
    <row r="13" spans="2:3" ht="14.1" customHeight="1" x14ac:dyDescent="0.25">
      <c r="B13" s="9" t="str">
        <f>'Binary File'!B14</f>
        <v>DEFAULT_RESERVED_MODEL</v>
      </c>
      <c r="C13" t="str">
        <f>'Binary File'!C14</f>
        <v>3F82C</v>
      </c>
    </row>
    <row r="14" spans="2:3" ht="14.1" customHeight="1" x14ac:dyDescent="0.25">
      <c r="B14" s="9" t="str">
        <f>'Binary File'!B15</f>
        <v>DEFAULT_RESERVED_MODEL</v>
      </c>
      <c r="C14" t="str">
        <f>'Binary File'!C15</f>
        <v>3F830</v>
      </c>
    </row>
    <row r="15" spans="2:3" ht="14.1" customHeight="1" x14ac:dyDescent="0.25">
      <c r="B15" s="9" t="str">
        <f>'Binary File'!B16</f>
        <v>DEFAULT_RESERVED_MODEL</v>
      </c>
      <c r="C15" t="str">
        <f>'Binary File'!C16</f>
        <v>3F834</v>
      </c>
    </row>
    <row r="16" spans="2:3" ht="14.1" customHeight="1" x14ac:dyDescent="0.25">
      <c r="B16" s="9" t="str">
        <f>'Binary File'!B17</f>
        <v>DEFAULT_RESERVED_MODEL</v>
      </c>
      <c r="C16" t="str">
        <f>'Binary File'!C17</f>
        <v>3F838</v>
      </c>
    </row>
    <row r="17" spans="2:3" ht="14.1" customHeight="1" x14ac:dyDescent="0.25">
      <c r="B17" s="9" t="str">
        <f>'Binary File'!B18</f>
        <v>DEFAULT_RESERVED_MODEL</v>
      </c>
      <c r="C17" t="str">
        <f>'Binary File'!C18</f>
        <v>3F83C</v>
      </c>
    </row>
    <row r="18" spans="2:3" ht="14.1" customHeight="1" x14ac:dyDescent="0.25">
      <c r="B18" s="9" t="str">
        <f>'Binary File'!B19</f>
        <v xml:space="preserve"> DEFAULT_DriveModelNumber1
</v>
      </c>
      <c r="C18" t="str">
        <f>'Binary File'!C19</f>
        <v>3F840</v>
      </c>
    </row>
    <row r="19" spans="2:3" ht="14.1" customHeight="1" x14ac:dyDescent="0.25">
      <c r="B19" s="9" t="str">
        <f>'Binary File'!B20</f>
        <v xml:space="preserve"> DEFAULT_DriveModelNumber2</v>
      </c>
      <c r="C19" t="str">
        <f>'Binary File'!C20</f>
        <v>3F844</v>
      </c>
    </row>
    <row r="20" spans="2:3" ht="14.1" customHeight="1" x14ac:dyDescent="0.25">
      <c r="B20" s="9" t="str">
        <f>'Binary File'!B21</f>
        <v xml:space="preserve"> DEFAULT_DriveModelNumber3</v>
      </c>
      <c r="C20" t="str">
        <f>'Binary File'!C21</f>
        <v>3F848</v>
      </c>
    </row>
    <row r="21" spans="2:3" ht="14.1" customHeight="1" x14ac:dyDescent="0.25">
      <c r="B21" s="9" t="str">
        <f>'Binary File'!B22</f>
        <v xml:space="preserve"> DEFAULT_DriveMaxPhases</v>
      </c>
      <c r="C21" t="str">
        <f>'Binary File'!C22</f>
        <v>3F84C</v>
      </c>
    </row>
    <row r="22" spans="2:3" ht="14.1" customHeight="1" x14ac:dyDescent="0.25">
      <c r="B22" s="9" t="str">
        <f>'Binary File'!B23</f>
        <v xml:space="preserve"> DEFAULT_DriveRatedMaxVolt</v>
      </c>
      <c r="C22" t="str">
        <f>'Binary File'!C23</f>
        <v>3F850</v>
      </c>
    </row>
    <row r="23" spans="2:3" ht="14.1" customHeight="1" x14ac:dyDescent="0.25">
      <c r="B23" s="9" t="str">
        <f>'Binary File'!B24</f>
        <v xml:space="preserve"> DEFAULT_DriveRatedMaxPeakCurrentmA</v>
      </c>
      <c r="C23" t="str">
        <f>'Binary File'!C24</f>
        <v>3F854</v>
      </c>
    </row>
    <row r="24" spans="2:3" ht="14.1" customHeight="1" x14ac:dyDescent="0.25">
      <c r="B24" s="9" t="str">
        <f>'Binary File'!B25</f>
        <v xml:space="preserve"> DEFAULT_DriveRatedMaxContCurrentmA</v>
      </c>
      <c r="C24" t="str">
        <f>'Binary File'!C25</f>
        <v>3F858</v>
      </c>
    </row>
    <row r="25" spans="2:3" ht="14.1" customHeight="1" x14ac:dyDescent="0.25">
      <c r="B25" s="9" t="str">
        <f>'Binary File'!B26</f>
        <v xml:space="preserve"> DEFAULT_SSI</v>
      </c>
      <c r="C25" t="str">
        <f>'Binary File'!C26</f>
        <v>3F85C</v>
      </c>
    </row>
    <row r="26" spans="2:3" ht="14.1" customHeight="1" x14ac:dyDescent="0.25">
      <c r="B26" s="9" t="str">
        <f>'Binary File'!B27</f>
        <v>DEFAULT_MotorConfigurationType</v>
      </c>
      <c r="C26" t="str">
        <f>'Binary File'!C27</f>
        <v>3F860</v>
      </c>
    </row>
    <row r="27" spans="2:3" ht="14.1" customHeight="1" x14ac:dyDescent="0.25">
      <c r="B27" s="9" t="str">
        <f>'Binary File'!B28</f>
        <v>DEFAULT_isINLCalibrationActive</v>
      </c>
      <c r="C27" t="str">
        <f>'Binary File'!C28</f>
        <v>3F864</v>
      </c>
    </row>
    <row r="28" spans="2:3" ht="14.1" customHeight="1" x14ac:dyDescent="0.25">
      <c r="B28" s="9" t="str">
        <f>'Binary File'!B29</f>
        <v xml:space="preserve"> DEFAULT_enCommutationModeSelect</v>
      </c>
      <c r="C28" t="str">
        <f>'Binary File'!C29</f>
        <v>3F868</v>
      </c>
    </row>
    <row r="29" spans="2:3" ht="14.1" customHeight="1" x14ac:dyDescent="0.25">
      <c r="B29" s="9" t="str">
        <f>'Binary File'!B30</f>
        <v xml:space="preserve"> DEFAULT_enRegulationModeSelect</v>
      </c>
      <c r="C29" t="str">
        <f>'Binary File'!C30</f>
        <v>3F86C</v>
      </c>
    </row>
    <row r="30" spans="2:3" ht="14.1" customHeight="1" x14ac:dyDescent="0.25">
      <c r="B30" s="9" t="str">
        <f>'Binary File'!B31</f>
        <v xml:space="preserve"> DEFAULT_InputReferenceSource</v>
      </c>
      <c r="C30" t="str">
        <f>'Binary File'!C31</f>
        <v>3F870</v>
      </c>
    </row>
    <row r="31" spans="2:3" ht="14.1" customHeight="1" x14ac:dyDescent="0.25">
      <c r="B31" s="9" t="str">
        <f>'Binary File'!B32</f>
        <v xml:space="preserve"> DEFAULT_enCurrentReferenceSelect</v>
      </c>
      <c r="C31" t="str">
        <f>'Binary File'!C32</f>
        <v>3F874</v>
      </c>
    </row>
    <row r="32" spans="2:3" ht="14.1" customHeight="1" x14ac:dyDescent="0.25">
      <c r="B32" s="9" t="str">
        <f>'Binary File'!B33</f>
        <v xml:space="preserve"> DEFAULT_enRotorVelocityReferenceSelect</v>
      </c>
      <c r="C32" t="str">
        <f>'Binary File'!C33</f>
        <v>3F878</v>
      </c>
    </row>
    <row r="33" spans="2:3" ht="14.1" customHeight="1" x14ac:dyDescent="0.25">
      <c r="B33" s="9" t="str">
        <f>'Binary File'!B34</f>
        <v xml:space="preserve"> DEFAULT_enRotorPositionReferenceSelect</v>
      </c>
      <c r="C33" t="str">
        <f>'Binary File'!C34</f>
        <v>3F87C</v>
      </c>
    </row>
    <row r="34" spans="2:3" ht="14.1" customHeight="1" x14ac:dyDescent="0.25">
      <c r="B34" s="9" t="str">
        <f>'Binary File'!B35</f>
        <v xml:space="preserve"> DEFAULT_enEnableSelect</v>
      </c>
      <c r="C34" t="str">
        <f>'Binary File'!C35</f>
        <v>3F880</v>
      </c>
    </row>
    <row r="35" spans="2:3" ht="14.1" customHeight="1" x14ac:dyDescent="0.25">
      <c r="B35" s="9" t="str">
        <f>'Binary File'!B36</f>
        <v xml:space="preserve"> DEFAULT_enRotorVelocityLimitSelect</v>
      </c>
      <c r="C35" t="str">
        <f>'Binary File'!C36</f>
        <v>3F884</v>
      </c>
    </row>
    <row r="36" spans="2:3" ht="14.1" customHeight="1" x14ac:dyDescent="0.25">
      <c r="B36" s="9" t="str">
        <f>'Binary File'!B37</f>
        <v xml:space="preserve"> DEFAULT_enCurrentLimitSelect</v>
      </c>
      <c r="C36" t="str">
        <f>'Binary File'!C37</f>
        <v>3F888</v>
      </c>
    </row>
    <row r="37" spans="2:3" ht="14.1" customHeight="1" x14ac:dyDescent="0.25">
      <c r="B37" s="9" t="str">
        <f>'Binary File'!B38</f>
        <v>pDEFAULT_enReferenceCommandTypeSelect</v>
      </c>
      <c r="C37" t="str">
        <f>'Binary File'!C38</f>
        <v>3F88C</v>
      </c>
    </row>
    <row r="38" spans="2:3" ht="14.1" customHeight="1" x14ac:dyDescent="0.25">
      <c r="B38" s="9" t="str">
        <f>'Binary File'!B39</f>
        <v>DEFAULT_enReferenceCommandType</v>
      </c>
      <c r="C38" t="str">
        <f>'Binary File'!C39</f>
        <v>3F890</v>
      </c>
    </row>
    <row r="39" spans="2:3" ht="14.1" customHeight="1" x14ac:dyDescent="0.25">
      <c r="B39" s="9" t="str">
        <f>'Binary File'!B40</f>
        <v xml:space="preserve"> DEFAULT_fFixedRotorVelocityRPM</v>
      </c>
      <c r="C39" t="str">
        <f>'Binary File'!C40</f>
        <v>3F894</v>
      </c>
    </row>
    <row r="40" spans="2:3" ht="14.1" customHeight="1" x14ac:dyDescent="0.25">
      <c r="B40" s="9" t="str">
        <f>'Binary File'!B41</f>
        <v xml:space="preserve"> DEFAULT_fFixedCurrentReferencemA</v>
      </c>
      <c r="C40" t="str">
        <f>'Binary File'!C41</f>
        <v>3F898</v>
      </c>
    </row>
    <row r="41" spans="2:3" ht="14.1" customHeight="1" x14ac:dyDescent="0.25">
      <c r="B41" s="9" t="str">
        <f>'Binary File'!B42</f>
        <v xml:space="preserve"> DEFAULT_fMinRotorVelocityLimitRPM</v>
      </c>
      <c r="C41" t="str">
        <f>'Binary File'!C42</f>
        <v>3F89C</v>
      </c>
    </row>
    <row r="42" spans="2:3" ht="14.1" customHeight="1" x14ac:dyDescent="0.25">
      <c r="B42" s="9" t="str">
        <f>'Binary File'!B43</f>
        <v xml:space="preserve"> DEFAULT_fMaxRotorVelocityLimitRPM</v>
      </c>
      <c r="C42" t="str">
        <f>'Binary File'!C43</f>
        <v>3F8A0</v>
      </c>
    </row>
    <row r="43" spans="2:3" ht="14.1" customHeight="1" x14ac:dyDescent="0.25">
      <c r="B43" s="9" t="str">
        <f>'Binary File'!B44</f>
        <v xml:space="preserve"> DEFAULT_fMinCurrentLimitmA</v>
      </c>
      <c r="C43" t="str">
        <f>'Binary File'!C44</f>
        <v>3F8A4</v>
      </c>
    </row>
    <row r="44" spans="2:3" ht="14.1" customHeight="1" x14ac:dyDescent="0.25">
      <c r="B44" s="9" t="str">
        <f>'Binary File'!B45</f>
        <v xml:space="preserve"> DEFAULT_fMaxCurrentLimitmA</v>
      </c>
      <c r="C44" t="str">
        <f>'Binary File'!C45</f>
        <v>3F8A8</v>
      </c>
    </row>
    <row r="45" spans="2:3" ht="14.1" customHeight="1" x14ac:dyDescent="0.25">
      <c r="B45" s="9" t="str">
        <f>'Binary File'!B46</f>
        <v xml:space="preserve"> DEFAULT_isSCurveProfile</v>
      </c>
      <c r="C45" t="str">
        <f>'Binary File'!C46</f>
        <v>3F8AC</v>
      </c>
    </row>
    <row r="46" spans="2:3" ht="14.1" customHeight="1" x14ac:dyDescent="0.25">
      <c r="B46" s="9" t="str">
        <f>'Binary File'!B47</f>
        <v xml:space="preserve"> DEFAULT_isEnabledExt</v>
      </c>
      <c r="C46" t="str">
        <f>'Binary File'!C47</f>
        <v>3F8B0</v>
      </c>
    </row>
    <row r="47" spans="2:3" ht="14.1" customHeight="1" x14ac:dyDescent="0.25">
      <c r="B47" s="9" t="str">
        <f>'Binary File'!B48</f>
        <v xml:space="preserve"> DEFAULT_isHighCurrentLoopGain</v>
      </c>
      <c r="C47" t="str">
        <f>'Binary File'!C48</f>
        <v>3F8B4</v>
      </c>
    </row>
    <row r="48" spans="2:3" ht="14.1" customHeight="1" x14ac:dyDescent="0.25">
      <c r="B48" s="9" t="str">
        <f>'Binary File'!B49</f>
        <v xml:space="preserve"> DEFAULT_VelocityPIDRegulatorProportionalGain</v>
      </c>
      <c r="C48" t="str">
        <f>'Binary File'!C49</f>
        <v>3F8B8</v>
      </c>
    </row>
    <row r="49" spans="2:3" ht="14.1" customHeight="1" x14ac:dyDescent="0.25">
      <c r="B49" s="9" t="str">
        <f>'Binary File'!B50</f>
        <v xml:space="preserve"> DEFAULT_VelocityPIDRegulatorIntegralGain</v>
      </c>
      <c r="C49" t="str">
        <f>'Binary File'!C50</f>
        <v>3F8BC</v>
      </c>
    </row>
    <row r="50" spans="2:3" ht="14.1" customHeight="1" x14ac:dyDescent="0.25">
      <c r="B50" s="9" t="str">
        <f>'Binary File'!B51</f>
        <v xml:space="preserve"> DEFAULT_VelocityPIDRegulatorDerivativeGain</v>
      </c>
      <c r="C50" t="str">
        <f>'Binary File'!C51</f>
        <v>3F8C0</v>
      </c>
    </row>
    <row r="51" spans="2:3" ht="14.1" customHeight="1" x14ac:dyDescent="0.25">
      <c r="B51" s="9" t="str">
        <f>'Binary File'!B52</f>
        <v xml:space="preserve"> DEFAULT_VelocityPIDRegulatorFeedForwardGain</v>
      </c>
      <c r="C51" t="str">
        <f>'Binary File'!C52</f>
        <v>3F8C4</v>
      </c>
    </row>
    <row r="52" spans="2:3" ht="14.1" customHeight="1" x14ac:dyDescent="0.25">
      <c r="B52" s="9" t="str">
        <f>'Binary File'!B53</f>
        <v xml:space="preserve"> DEFAULT_VelocityPIDRegulatorMaxLimitmA</v>
      </c>
      <c r="C52" t="str">
        <f>'Binary File'!C53</f>
        <v>3F8C8</v>
      </c>
    </row>
    <row r="53" spans="2:3" ht="14.1" customHeight="1" x14ac:dyDescent="0.25">
      <c r="B53" s="9" t="str">
        <f>'Binary File'!B54</f>
        <v xml:space="preserve"> DEFAULT_VelocityPIDRegulatorMinLimitmA</v>
      </c>
      <c r="C53" t="str">
        <f>'Binary File'!C54</f>
        <v>3F8CC</v>
      </c>
    </row>
    <row r="54" spans="2:3" ht="14.1" customHeight="1" x14ac:dyDescent="0.25">
      <c r="B54" s="9" t="str">
        <f>'Binary File'!B55</f>
        <v xml:space="preserve"> DEFAULT_PositionPIDRegulatorProportionalGain</v>
      </c>
      <c r="C54" t="str">
        <f>'Binary File'!C55</f>
        <v>3F8D0</v>
      </c>
    </row>
    <row r="55" spans="2:3" ht="14.1" customHeight="1" x14ac:dyDescent="0.25">
      <c r="B55" s="9" t="str">
        <f>'Binary File'!B56</f>
        <v xml:space="preserve"> DEFAULT_PositionPIDRegulatorIntegralGain</v>
      </c>
      <c r="C55" t="str">
        <f>'Binary File'!C56</f>
        <v>3F8D4</v>
      </c>
    </row>
    <row r="56" spans="2:3" ht="14.1" customHeight="1" x14ac:dyDescent="0.25">
      <c r="B56" s="9" t="str">
        <f>'Binary File'!B57</f>
        <v xml:space="preserve"> DEFAULT_PositionPIDRegulatorDerivativeGain</v>
      </c>
      <c r="C56" t="str">
        <f>'Binary File'!C57</f>
        <v>3F8D8</v>
      </c>
    </row>
    <row r="57" spans="2:3" ht="14.1" customHeight="1" x14ac:dyDescent="0.25">
      <c r="B57" s="9" t="str">
        <f>'Binary File'!B58</f>
        <v xml:space="preserve"> DEFAULT_PositionPIDRegulatorFeedForwardGain</v>
      </c>
      <c r="C57" t="str">
        <f>'Binary File'!C58</f>
        <v>3F8DC</v>
      </c>
    </row>
    <row r="58" spans="2:3" ht="14.1" customHeight="1" x14ac:dyDescent="0.25">
      <c r="B58" s="9" t="str">
        <f>'Binary File'!B59</f>
        <v xml:space="preserve"> DEFAULT_PositionPIDRegulatorMaxLimitRPM</v>
      </c>
      <c r="C58" t="str">
        <f>'Binary File'!C59</f>
        <v>3F8E0</v>
      </c>
    </row>
    <row r="59" spans="2:3" ht="14.1" customHeight="1" x14ac:dyDescent="0.25">
      <c r="B59" s="9" t="str">
        <f>'Binary File'!B60</f>
        <v xml:space="preserve"> DEFAULT_PositionPIDRegulatorMinLimitRPM</v>
      </c>
      <c r="C59" t="str">
        <f>'Binary File'!C60</f>
        <v>3F8E4</v>
      </c>
    </row>
    <row r="60" spans="2:3" ht="14.1" customHeight="1" x14ac:dyDescent="0.25">
      <c r="B60" s="9" t="str">
        <f>'Binary File'!B61</f>
        <v xml:space="preserve"> DEFAULT_isPosition1InterruptEnabled</v>
      </c>
      <c r="C60" t="str">
        <f>'Binary File'!C61</f>
        <v>3F8E8</v>
      </c>
    </row>
    <row r="61" spans="2:3" ht="14.1" customHeight="1" x14ac:dyDescent="0.25">
      <c r="B61" s="9" t="str">
        <f>'Binary File'!B62</f>
        <v xml:space="preserve"> DEFAULT_TripPosition1RelativemRev</v>
      </c>
      <c r="C61" t="str">
        <f>'Binary File'!C62</f>
        <v>3F8EC</v>
      </c>
    </row>
    <row r="62" spans="2:3" ht="14.1" customHeight="1" x14ac:dyDescent="0.25">
      <c r="B62" s="9" t="str">
        <f>'Binary File'!B63</f>
        <v xml:space="preserve"> DEFAULT_isPosition2InterruptEnabled</v>
      </c>
      <c r="C62" t="str">
        <f>'Binary File'!C63</f>
        <v>3F8F0</v>
      </c>
    </row>
    <row r="63" spans="2:3" ht="14.1" customHeight="1" x14ac:dyDescent="0.25">
      <c r="B63" s="9" t="str">
        <f>'Binary File'!B64</f>
        <v xml:space="preserve"> DEFAULT_TripPosition2RelativemRev</v>
      </c>
      <c r="C63" t="str">
        <f>'Binary File'!C64</f>
        <v>3F8F4</v>
      </c>
    </row>
    <row r="64" spans="2:3" ht="14.1" customHeight="1" x14ac:dyDescent="0.25">
      <c r="B64" s="9" t="str">
        <f>'Binary File'!B65</f>
        <v xml:space="preserve"> DEFAULT_isPositionErrorInterruptEnabled</v>
      </c>
      <c r="C64" t="str">
        <f>'Binary File'!C65</f>
        <v>3F8F8</v>
      </c>
    </row>
    <row r="65" spans="2:3" ht="14.1" customHeight="1" x14ac:dyDescent="0.25">
      <c r="B65" s="9" t="str">
        <f>'Binary File'!B66</f>
        <v xml:space="preserve"> DEFAULT_TripPositionAbsErrormRev</v>
      </c>
      <c r="C65" t="str">
        <f>'Binary File'!C66</f>
        <v>3F8FC</v>
      </c>
    </row>
    <row r="66" spans="2:3" ht="14.1" customHeight="1" x14ac:dyDescent="0.25">
      <c r="B66" s="9" t="str">
        <f>'Binary File'!B67</f>
        <v xml:space="preserve"> DEFAULT_isIlimitDurationInterruptEnabled</v>
      </c>
      <c r="C66" t="str">
        <f>'Binary File'!C67</f>
        <v>3F900</v>
      </c>
    </row>
    <row r="67" spans="2:3" ht="14.1" customHeight="1" x14ac:dyDescent="0.25">
      <c r="B67" s="9" t="str">
        <f>'Binary File'!B68</f>
        <v xml:space="preserve"> DEFAULT_TripILimitDurationmSec</v>
      </c>
      <c r="C67" t="str">
        <f>'Binary File'!C68</f>
        <v>3F904</v>
      </c>
    </row>
    <row r="68" spans="2:3" ht="14.1" customHeight="1" x14ac:dyDescent="0.25">
      <c r="B68" s="9" t="str">
        <f>'Binary File'!B69</f>
        <v xml:space="preserve"> DEFAULT_PositionErrorDeadbandmRev</v>
      </c>
      <c r="C68" t="str">
        <f>'Binary File'!C69</f>
        <v>3F908</v>
      </c>
    </row>
    <row r="69" spans="2:3" ht="14.1" customHeight="1" x14ac:dyDescent="0.25">
      <c r="B69" s="9" t="str">
        <f>'Binary File'!B70</f>
        <v xml:space="preserve"> DEFAULT_FieldBusType</v>
      </c>
      <c r="C69" t="str">
        <f>'Binary File'!C70</f>
        <v>3F90C</v>
      </c>
    </row>
    <row r="70" spans="2:3" ht="14.1" customHeight="1" x14ac:dyDescent="0.25">
      <c r="B70" s="9" t="str">
        <f>'Binary File'!B71</f>
        <v xml:space="preserve"> DEFAULT_WriteEnable</v>
      </c>
      <c r="C70" t="str">
        <f>'Binary File'!C71</f>
        <v>3F910</v>
      </c>
    </row>
    <row r="71" spans="2:3" ht="14.1" customHeight="1" x14ac:dyDescent="0.25">
      <c r="B71" s="9" t="str">
        <f>'Binary File'!B72</f>
        <v xml:space="preserve"> DEFAULT_UserNodeID</v>
      </c>
      <c r="C71" t="str">
        <f>'Binary File'!C72</f>
        <v>3F914</v>
      </c>
    </row>
    <row r="72" spans="2:3" ht="14.1" customHeight="1" x14ac:dyDescent="0.25">
      <c r="B72" s="9" t="str">
        <f>'Binary File'!B73</f>
        <v xml:space="preserve"> DEFAULT_UserBaudRate</v>
      </c>
      <c r="C72" t="str">
        <f>'Binary File'!C73</f>
        <v>3F918</v>
      </c>
    </row>
    <row r="73" spans="2:3" ht="14.1" customHeight="1" x14ac:dyDescent="0.25">
      <c r="B73" s="9" t="str">
        <f>'Binary File'!B74</f>
        <v xml:space="preserve"> DEFAULT_AutoOperationalMode</v>
      </c>
      <c r="C73" t="str">
        <f>'Binary File'!C74</f>
        <v>3F91C</v>
      </c>
    </row>
    <row r="74" spans="2:3" ht="14.1" customHeight="1" x14ac:dyDescent="0.25">
      <c r="B74" s="9" t="str">
        <f>'Binary File'!B75</f>
        <v xml:space="preserve"> DEFAULT_BootupMessage</v>
      </c>
      <c r="C74" t="str">
        <f>'Binary File'!C75</f>
        <v>3F920</v>
      </c>
    </row>
    <row r="75" spans="2:3" ht="14.1" customHeight="1" x14ac:dyDescent="0.25">
      <c r="B75" s="9" t="str">
        <f>'Binary File'!B76</f>
        <v>DEFAULT_enVoltageReferenceSelect</v>
      </c>
      <c r="C75" t="str">
        <f>'Binary File'!C76</f>
        <v>3F924</v>
      </c>
    </row>
    <row r="76" spans="2:3" ht="14.1" customHeight="1" x14ac:dyDescent="0.25">
      <c r="B76" s="9" t="str">
        <f>'Binary File'!B77</f>
        <v>DEFAULT_fFixedVoltageReferencemV</v>
      </c>
      <c r="C76" t="str">
        <f>'Binary File'!C77</f>
        <v>3F928</v>
      </c>
    </row>
    <row r="77" spans="2:3" ht="14.1" customHeight="1" x14ac:dyDescent="0.25">
      <c r="B77" s="9" t="str">
        <f>'Binary File'!B78</f>
        <v>DEFAULT_MaxStallRecoveryAttempts</v>
      </c>
      <c r="C77" t="str">
        <f>'Binary File'!C78</f>
        <v>3F92C</v>
      </c>
    </row>
    <row r="78" spans="2:3" ht="14.1" customHeight="1" x14ac:dyDescent="0.25">
      <c r="B78" s="9" t="str">
        <f>'Binary File'!B79</f>
        <v>DEFAULT_PositionValidationServoThresholdmRev</v>
      </c>
      <c r="C78" t="str">
        <f>'Binary File'!C79</f>
        <v>3F930</v>
      </c>
    </row>
    <row r="79" spans="2:3" ht="14.1" customHeight="1" x14ac:dyDescent="0.25">
      <c r="B79" s="9" t="str">
        <f>'Binary File'!B80</f>
        <v>DEFAULT_PositionValidationServoTimeoutmSec</v>
      </c>
      <c r="C79" t="str">
        <f>'Binary File'!C80</f>
        <v>3F934</v>
      </c>
    </row>
    <row r="80" spans="2:3" ht="14.1" customHeight="1" x14ac:dyDescent="0.25">
      <c r="B80" s="9" t="str">
        <f>'Binary File'!B81</f>
        <v>DEFAULT_LogicInputInterruptAssignmentBitPacked</v>
      </c>
      <c r="C80" t="str">
        <f>'Binary File'!C81</f>
        <v>3F938</v>
      </c>
    </row>
    <row r="81" spans="2:3" ht="14.1" customHeight="1" x14ac:dyDescent="0.25">
      <c r="B81" s="9" t="str">
        <f>'Binary File'!B82</f>
        <v>DEFAULT_VelocityUnitScalingNumerator</v>
      </c>
      <c r="C81" t="str">
        <f>'Binary File'!C82</f>
        <v>3F93C</v>
      </c>
    </row>
    <row r="82" spans="2:3" ht="14.1" customHeight="1" x14ac:dyDescent="0.25">
      <c r="B82" s="9" t="str">
        <f>'Binary File'!B83</f>
        <v>DEFAULT_VelocityUnitScalingDenominator</v>
      </c>
      <c r="C82" t="str">
        <f>'Binary File'!C83</f>
        <v>3F940</v>
      </c>
    </row>
    <row r="83" spans="2:3" ht="14.1" customHeight="1" x14ac:dyDescent="0.25">
      <c r="B83" s="9" t="str">
        <f>'Binary File'!B84</f>
        <v>DEFAULT_PositionUnitScalingNumerator</v>
      </c>
      <c r="C83" t="str">
        <f>'Binary File'!C84</f>
        <v>3F944</v>
      </c>
    </row>
    <row r="84" spans="2:3" ht="14.1" customHeight="1" x14ac:dyDescent="0.25">
      <c r="B84" s="9" t="str">
        <f>'Binary File'!B85</f>
        <v>DEFAULT_PositionUnitScalingDenominator</v>
      </c>
      <c r="C84" t="str">
        <f>'Binary File'!C85</f>
        <v>3F948</v>
      </c>
    </row>
    <row r="85" spans="2:3" ht="14.1" customHeight="1" x14ac:dyDescent="0.25">
      <c r="B85" s="9" t="str">
        <f>'Binary File'!B86</f>
        <v>DEFAULT_AccelUnitScalingNumerator</v>
      </c>
      <c r="C85" t="str">
        <f>'Binary File'!C86</f>
        <v>3F94C</v>
      </c>
    </row>
    <row r="86" spans="2:3" ht="14.1" customHeight="1" x14ac:dyDescent="0.25">
      <c r="B86" s="9" t="str">
        <f>'Binary File'!B87</f>
        <v>DEFAULT_AccelUnitScalingDenominator</v>
      </c>
      <c r="C86" t="str">
        <f>'Binary File'!C87</f>
        <v>3F950</v>
      </c>
    </row>
    <row r="87" spans="2:3" ht="14.1" customHeight="1" x14ac:dyDescent="0.25">
      <c r="B87" s="9" t="str">
        <f>'Binary File'!B88</f>
        <v>DEFAULT_RESERVED_DRIVE</v>
      </c>
      <c r="C87" t="str">
        <f>'Binary File'!C88</f>
        <v>3F954</v>
      </c>
    </row>
    <row r="88" spans="2:3" ht="14.1" customHeight="1" x14ac:dyDescent="0.25">
      <c r="B88" s="9" t="str">
        <f>'Binary File'!B89</f>
        <v>DEFAULT_RESERVED_DRIVE</v>
      </c>
      <c r="C88" t="str">
        <f>'Binary File'!C89</f>
        <v>3F958</v>
      </c>
    </row>
    <row r="89" spans="2:3" ht="14.1" customHeight="1" x14ac:dyDescent="0.25">
      <c r="B89" s="9" t="str">
        <f>'Binary File'!B90</f>
        <v>DEFAULT_RESERVED_DRIVE</v>
      </c>
      <c r="C89" t="str">
        <f>'Binary File'!C90</f>
        <v>3F95C</v>
      </c>
    </row>
    <row r="90" spans="2:3" ht="14.1" customHeight="1" x14ac:dyDescent="0.25">
      <c r="B90" s="9" t="str">
        <f>'Binary File'!B91</f>
        <v>DEFAULT_RESERVED_DRIVE</v>
      </c>
      <c r="C90" t="str">
        <f>'Binary File'!C91</f>
        <v>3F960</v>
      </c>
    </row>
    <row r="91" spans="2:3" ht="14.1" customHeight="1" x14ac:dyDescent="0.25">
      <c r="B91" s="9" t="str">
        <f>'Binary File'!B92</f>
        <v>DEFAULT_RESERVED_DRIVE</v>
      </c>
      <c r="C91" t="str">
        <f>'Binary File'!C92</f>
        <v>3F964</v>
      </c>
    </row>
    <row r="92" spans="2:3" ht="14.1" customHeight="1" x14ac:dyDescent="0.25">
      <c r="B92" s="9" t="str">
        <f>'Binary File'!B93</f>
        <v>DEFAULT_RESERVED_DRIVE</v>
      </c>
      <c r="C92" t="str">
        <f>'Binary File'!C93</f>
        <v>3F968</v>
      </c>
    </row>
    <row r="93" spans="2:3" ht="14.1" customHeight="1" x14ac:dyDescent="0.25">
      <c r="B93" s="9" t="str">
        <f>'Binary File'!B94</f>
        <v>DEFAULT_RESERVED_DRIVE</v>
      </c>
      <c r="C93" t="str">
        <f>'Binary File'!C94</f>
        <v>3F96C</v>
      </c>
    </row>
    <row r="94" spans="2:3" ht="14.1" customHeight="1" x14ac:dyDescent="0.25">
      <c r="B94" s="9" t="str">
        <f>'Binary File'!B95</f>
        <v>DEFAULT_RESERVED_DRIVE</v>
      </c>
      <c r="C94" t="str">
        <f>'Binary File'!C95</f>
        <v>3F970</v>
      </c>
    </row>
    <row r="95" spans="2:3" ht="14.1" customHeight="1" x14ac:dyDescent="0.25">
      <c r="B95" s="9" t="str">
        <f>'Binary File'!B96</f>
        <v>DEFAULT_RESERVED_DRIVE</v>
      </c>
      <c r="C95" t="str">
        <f>'Binary File'!C96</f>
        <v>3F974</v>
      </c>
    </row>
    <row r="96" spans="2:3" ht="14.1" customHeight="1" x14ac:dyDescent="0.25">
      <c r="B96" s="9" t="str">
        <f>'Binary File'!B97</f>
        <v>DEFAULT_RESERVED_DRIVE</v>
      </c>
      <c r="C96" t="str">
        <f>'Binary File'!C97</f>
        <v>3F978</v>
      </c>
    </row>
    <row r="97" spans="2:3" ht="14.1" customHeight="1" x14ac:dyDescent="0.25">
      <c r="B97" s="9" t="str">
        <f>'Binary File'!B98</f>
        <v>DEFAULT_RESERVED_DRIVE</v>
      </c>
      <c r="C97" t="str">
        <f>'Binary File'!C98</f>
        <v>3F97C</v>
      </c>
    </row>
    <row r="98" spans="2:3" ht="14.1" customHeight="1" x14ac:dyDescent="0.25">
      <c r="B98" s="9" t="str">
        <f>'Binary File'!B99</f>
        <v>DEFAULT_RESERVED_DRIVE</v>
      </c>
      <c r="C98" t="str">
        <f>'Binary File'!C99</f>
        <v>3F980</v>
      </c>
    </row>
    <row r="99" spans="2:3" ht="14.1" customHeight="1" x14ac:dyDescent="0.25">
      <c r="B99" s="9" t="str">
        <f>'Binary File'!B100</f>
        <v>DEFAULT_RESERVED_DRIVE</v>
      </c>
      <c r="C99" t="str">
        <f>'Binary File'!C100</f>
        <v>3F984</v>
      </c>
    </row>
    <row r="100" spans="2:3" ht="14.1" customHeight="1" x14ac:dyDescent="0.25">
      <c r="B100" s="9" t="str">
        <f>'Binary File'!B101</f>
        <v>DEFAULT_RESERVED_DRIVE</v>
      </c>
      <c r="C100" t="str">
        <f>'Binary File'!C101</f>
        <v>3F988</v>
      </c>
    </row>
    <row r="101" spans="2:3" ht="14.1" customHeight="1" x14ac:dyDescent="0.25">
      <c r="B101" s="9" t="str">
        <f>'Binary File'!B102</f>
        <v>DEFAULT_RESERVED_DRIVE</v>
      </c>
      <c r="C101" t="str">
        <f>'Binary File'!C102</f>
        <v>3F98C</v>
      </c>
    </row>
    <row r="102" spans="2:3" ht="14.1" customHeight="1" x14ac:dyDescent="0.25">
      <c r="B102" s="9" t="str">
        <f>'Binary File'!B103</f>
        <v>DEFAULT_RESERVED_DRIVE</v>
      </c>
      <c r="C102" t="str">
        <f>'Binary File'!C103</f>
        <v>3F990</v>
      </c>
    </row>
    <row r="103" spans="2:3" ht="14.1" customHeight="1" x14ac:dyDescent="0.25">
      <c r="B103" s="9" t="str">
        <f>'Binary File'!B104</f>
        <v>DEFAULT_RESERVED_DRIVE</v>
      </c>
      <c r="C103" t="str">
        <f>'Binary File'!C104</f>
        <v>3F994</v>
      </c>
    </row>
    <row r="104" spans="2:3" ht="14.1" customHeight="1" x14ac:dyDescent="0.25">
      <c r="B104" s="9" t="str">
        <f>'Binary File'!B105</f>
        <v>DEFAULT_RESERVED_DRIVE</v>
      </c>
      <c r="C104" t="str">
        <f>'Binary File'!C105</f>
        <v>3F998</v>
      </c>
    </row>
    <row r="105" spans="2:3" ht="14.1" customHeight="1" x14ac:dyDescent="0.25">
      <c r="B105" s="9" t="str">
        <f>'Binary File'!B106</f>
        <v>DEFAULT_RESERVED_DRIVE</v>
      </c>
      <c r="C105" t="str">
        <f>'Binary File'!C106</f>
        <v>3F99C</v>
      </c>
    </row>
    <row r="106" spans="2:3" ht="14.1" customHeight="1" x14ac:dyDescent="0.25">
      <c r="B106" s="9" t="str">
        <f>'Binary File'!B107</f>
        <v>DEFAULT_RESERVED_DRIVE</v>
      </c>
      <c r="C106" t="str">
        <f>'Binary File'!C107</f>
        <v>3F9A0</v>
      </c>
    </row>
    <row r="107" spans="2:3" ht="14.1" customHeight="1" x14ac:dyDescent="0.25">
      <c r="B107" s="9" t="str">
        <f>'Binary File'!B108</f>
        <v>DEFAULT_RESERVED_DRIVE</v>
      </c>
      <c r="C107" t="str">
        <f>'Binary File'!C108</f>
        <v>3F9A4</v>
      </c>
    </row>
    <row r="108" spans="2:3" ht="14.1" customHeight="1" x14ac:dyDescent="0.25">
      <c r="B108" s="9" t="str">
        <f>'Binary File'!B109</f>
        <v>DEFAULT_RESERVED_DRIVE</v>
      </c>
      <c r="C108" t="str">
        <f>'Binary File'!C109</f>
        <v>3F9A8</v>
      </c>
    </row>
    <row r="109" spans="2:3" ht="14.1" customHeight="1" x14ac:dyDescent="0.25">
      <c r="B109" s="9" t="str">
        <f>'Binary File'!B110</f>
        <v>DEFAULT_RESERVED_DRIVE</v>
      </c>
      <c r="C109" t="str">
        <f>'Binary File'!C110</f>
        <v>3F9AC</v>
      </c>
    </row>
    <row r="110" spans="2:3" ht="14.1" customHeight="1" x14ac:dyDescent="0.25">
      <c r="B110" s="9" t="str">
        <f>'Binary File'!B111</f>
        <v>DEFAULT_RESERVED_DRIVE</v>
      </c>
      <c r="C110" t="str">
        <f>'Binary File'!C111</f>
        <v>3F9B0</v>
      </c>
    </row>
    <row r="111" spans="2:3" ht="14.1" customHeight="1" x14ac:dyDescent="0.25">
      <c r="B111" s="9" t="str">
        <f>'Binary File'!B112</f>
        <v>DEFAULT_RESERVED_DRIVE</v>
      </c>
      <c r="C111" t="str">
        <f>'Binary File'!C112</f>
        <v>3F9B4</v>
      </c>
    </row>
    <row r="112" spans="2:3" ht="14.1" customHeight="1" x14ac:dyDescent="0.25">
      <c r="B112" s="9" t="str">
        <f>'Binary File'!B113</f>
        <v>DEFAULT_RESERVED_DRIVE</v>
      </c>
      <c r="C112" t="str">
        <f>'Binary File'!C113</f>
        <v>3F9B8</v>
      </c>
    </row>
    <row r="113" spans="2:3" ht="14.1" customHeight="1" x14ac:dyDescent="0.25">
      <c r="B113" s="9" t="str">
        <f>'Binary File'!B114</f>
        <v>DEFAULT_RESERVED_DRIVE</v>
      </c>
      <c r="C113" t="str">
        <f>'Binary File'!C114</f>
        <v>3F9BC</v>
      </c>
    </row>
    <row r="114" spans="2:3" ht="14.1" customHeight="1" x14ac:dyDescent="0.25">
      <c r="B114" s="9" t="str">
        <f>'Binary File'!B115</f>
        <v>DEFAULT_RESERVED_DRIVE</v>
      </c>
      <c r="C114" t="str">
        <f>'Binary File'!C115</f>
        <v>3F9C0</v>
      </c>
    </row>
    <row r="115" spans="2:3" ht="14.1" customHeight="1" x14ac:dyDescent="0.25">
      <c r="B115" s="9" t="str">
        <f>'Binary File'!B116</f>
        <v>DEFAULT_RESERVED_DRIVE</v>
      </c>
      <c r="C115" t="str">
        <f>'Binary File'!C116</f>
        <v>3F9C4</v>
      </c>
    </row>
    <row r="116" spans="2:3" ht="14.1" customHeight="1" x14ac:dyDescent="0.25">
      <c r="B116" s="9" t="str">
        <f>'Binary File'!B117</f>
        <v>DEFAULT_RESERVED_DRIVE</v>
      </c>
      <c r="C116" t="str">
        <f>'Binary File'!C117</f>
        <v>3F9C8</v>
      </c>
    </row>
    <row r="117" spans="2:3" ht="14.1" customHeight="1" x14ac:dyDescent="0.25">
      <c r="B117" s="9" t="str">
        <f>'Binary File'!B118</f>
        <v>DEFAULT_RESERVED_DRIVE</v>
      </c>
      <c r="C117" t="str">
        <f>'Binary File'!C118</f>
        <v>3F9CC</v>
      </c>
    </row>
    <row r="118" spans="2:3" ht="14.1" customHeight="1" x14ac:dyDescent="0.25">
      <c r="B118" s="9" t="str">
        <f>'Binary File'!B119</f>
        <v>DEFAULT_RESERVED_DRIVE</v>
      </c>
      <c r="C118" t="str">
        <f>'Binary File'!C119</f>
        <v>3F9D0</v>
      </c>
    </row>
    <row r="119" spans="2:3" ht="14.1" customHeight="1" x14ac:dyDescent="0.25">
      <c r="B119" s="9" t="str">
        <f>'Binary File'!B120</f>
        <v>DEFAULT_RESERVED_DRIVE</v>
      </c>
      <c r="C119" t="str">
        <f>'Binary File'!C120</f>
        <v>3F9D4</v>
      </c>
    </row>
    <row r="120" spans="2:3" ht="14.1" customHeight="1" x14ac:dyDescent="0.25">
      <c r="B120" s="9" t="str">
        <f>'Binary File'!B121</f>
        <v>DEFAULT_RESERVED_DRIVE</v>
      </c>
      <c r="C120" t="str">
        <f>'Binary File'!C121</f>
        <v>3F9D8</v>
      </c>
    </row>
    <row r="121" spans="2:3" ht="14.1" customHeight="1" x14ac:dyDescent="0.25">
      <c r="B121" s="9" t="str">
        <f>'Binary File'!B122</f>
        <v>DEFAULT_RESERVED_DRIVE</v>
      </c>
      <c r="C121" t="str">
        <f>'Binary File'!C122</f>
        <v>3F9DC</v>
      </c>
    </row>
    <row r="122" spans="2:3" ht="14.1" customHeight="1" x14ac:dyDescent="0.25">
      <c r="B122" s="9" t="str">
        <f>'Binary File'!B123</f>
        <v>DEFAULT_RESERVED_DRIVE</v>
      </c>
      <c r="C122" t="str">
        <f>'Binary File'!C123</f>
        <v>3F9E0</v>
      </c>
    </row>
    <row r="123" spans="2:3" ht="14.1" customHeight="1" x14ac:dyDescent="0.25">
      <c r="B123" s="9" t="str">
        <f>'Binary File'!B124</f>
        <v>DEFAULT_RESERVED_DRIVE</v>
      </c>
      <c r="C123" t="str">
        <f>'Binary File'!C124</f>
        <v>3F9E4</v>
      </c>
    </row>
    <row r="124" spans="2:3" ht="14.1" customHeight="1" x14ac:dyDescent="0.25">
      <c r="B124" s="9" t="str">
        <f>'Binary File'!B125</f>
        <v>DEFAULT_RESERVED_DRIVE</v>
      </c>
      <c r="C124" t="str">
        <f>'Binary File'!C125</f>
        <v>3F9E8</v>
      </c>
    </row>
    <row r="125" spans="2:3" ht="14.1" customHeight="1" x14ac:dyDescent="0.25">
      <c r="B125" s="9" t="str">
        <f>'Binary File'!B126</f>
        <v>DEFAULT_RESERVED_DRIVE</v>
      </c>
      <c r="C125" t="str">
        <f>'Binary File'!C126</f>
        <v>3F9EC</v>
      </c>
    </row>
    <row r="126" spans="2:3" ht="14.1" customHeight="1" x14ac:dyDescent="0.25">
      <c r="B126" s="9" t="str">
        <f>'Binary File'!B127</f>
        <v>DEFAULT_RESERVED_DRIVE</v>
      </c>
      <c r="C126" t="str">
        <f>'Binary File'!C127</f>
        <v>3F9F0</v>
      </c>
    </row>
    <row r="127" spans="2:3" ht="14.1" customHeight="1" x14ac:dyDescent="0.25">
      <c r="B127" s="9" t="str">
        <f>'Binary File'!B128</f>
        <v>DEFAULT_RESERVED_DRIVE</v>
      </c>
      <c r="C127" t="str">
        <f>'Binary File'!C128</f>
        <v>3F9F4</v>
      </c>
    </row>
    <row r="128" spans="2:3" ht="14.1" customHeight="1" x14ac:dyDescent="0.25">
      <c r="B128" s="9" t="str">
        <f>'Binary File'!B129</f>
        <v>DEFAULT_RESERVED_DRIVE</v>
      </c>
      <c r="C128" t="str">
        <f>'Binary File'!C129</f>
        <v>3F9F8</v>
      </c>
    </row>
    <row r="129" spans="2:3" ht="14.1" customHeight="1" x14ac:dyDescent="0.25">
      <c r="B129" s="9" t="str">
        <f>'Binary File'!B130</f>
        <v>DEFAULT_RESERVED_DRIVE</v>
      </c>
      <c r="C129" t="str">
        <f>'Binary File'!C130</f>
        <v>3F9FC</v>
      </c>
    </row>
    <row r="130" spans="2:3" ht="14.1" customHeight="1" x14ac:dyDescent="0.25">
      <c r="B130" s="9" t="str">
        <f>'Binary File'!B131</f>
        <v>DEFAULT_RESERVED_DRIVE</v>
      </c>
      <c r="C130" t="str">
        <f>'Binary File'!C131</f>
        <v>3FA00</v>
      </c>
    </row>
    <row r="131" spans="2:3" ht="14.1" customHeight="1" x14ac:dyDescent="0.25">
      <c r="B131" s="9" t="str">
        <f>'Binary File'!B132</f>
        <v>DEFAULT_RESERVED_DRIVE</v>
      </c>
      <c r="C131" t="str">
        <f>'Binary File'!C132</f>
        <v>3FA04</v>
      </c>
    </row>
    <row r="132" spans="2:3" ht="14.1" customHeight="1" x14ac:dyDescent="0.25">
      <c r="B132" s="9" t="str">
        <f>'Binary File'!B133</f>
        <v>DEFAULT_RESERVED_DRIVE</v>
      </c>
      <c r="C132" t="str">
        <f>'Binary File'!C133</f>
        <v>3FA08</v>
      </c>
    </row>
    <row r="133" spans="2:3" ht="14.1" customHeight="1" x14ac:dyDescent="0.25">
      <c r="B133" s="9" t="str">
        <f>'Binary File'!B134</f>
        <v>DEFAULT_RESERVED_DRIVE</v>
      </c>
      <c r="C133" t="str">
        <f>'Binary File'!C134</f>
        <v>3FA0C</v>
      </c>
    </row>
    <row r="134" spans="2:3" ht="14.1" customHeight="1" x14ac:dyDescent="0.25">
      <c r="B134" s="9" t="str">
        <f>'Binary File'!B135</f>
        <v>DEFAULT_RESERVED_DRIVE</v>
      </c>
      <c r="C134" t="str">
        <f>'Binary File'!C135</f>
        <v>3FA10</v>
      </c>
    </row>
    <row r="135" spans="2:3" ht="14.1" customHeight="1" x14ac:dyDescent="0.25">
      <c r="B135" s="9" t="str">
        <f>'Binary File'!B136</f>
        <v>DEFAULT_RESERVED_DRIVE</v>
      </c>
      <c r="C135" t="str">
        <f>'Binary File'!C136</f>
        <v>3FA14</v>
      </c>
    </row>
    <row r="136" spans="2:3" ht="14.1" customHeight="1" x14ac:dyDescent="0.25">
      <c r="B136" s="9" t="str">
        <f>'Binary File'!B137</f>
        <v>DEFAULT_RESERVED_DRIVE</v>
      </c>
      <c r="C136" t="str">
        <f>'Binary File'!C137</f>
        <v>3FA18</v>
      </c>
    </row>
    <row r="137" spans="2:3" ht="14.1" customHeight="1" x14ac:dyDescent="0.25">
      <c r="B137" s="9" t="str">
        <f>'Binary File'!B138</f>
        <v>DEFAULT_RESERVED_DRIVE</v>
      </c>
      <c r="C137" t="str">
        <f>'Binary File'!C138</f>
        <v>3FA1C</v>
      </c>
    </row>
    <row r="138" spans="2:3" ht="14.1" customHeight="1" x14ac:dyDescent="0.25">
      <c r="B138" s="9" t="str">
        <f>'Binary File'!B139</f>
        <v>DEFAULT_MotorModelNumber1</v>
      </c>
      <c r="C138" t="str">
        <f>'Binary File'!C139</f>
        <v>3FA20</v>
      </c>
    </row>
    <row r="139" spans="2:3" ht="14.1" customHeight="1" x14ac:dyDescent="0.25">
      <c r="B139" s="9" t="str">
        <f>'Binary File'!B140</f>
        <v>DEFAULT_MotorModelNumber2</v>
      </c>
      <c r="C139" t="str">
        <f>'Binary File'!C140</f>
        <v>3FA24</v>
      </c>
    </row>
    <row r="140" spans="2:3" ht="14.1" customHeight="1" x14ac:dyDescent="0.25">
      <c r="B140" s="9" t="str">
        <f>'Binary File'!B141</f>
        <v>DEFAULT_MotorModelNumber3</v>
      </c>
      <c r="C140" t="str">
        <f>'Binary File'!C141</f>
        <v>3FA28</v>
      </c>
    </row>
    <row r="141" spans="2:3" ht="14.1" customHeight="1" x14ac:dyDescent="0.25">
      <c r="B141" s="9" t="str">
        <f>'Binary File'!B142</f>
        <v>DEFAULT_MotorModelNumber4</v>
      </c>
      <c r="C141" t="str">
        <f>'Binary File'!C142</f>
        <v>3FA2C</v>
      </c>
    </row>
    <row r="142" spans="2:3" ht="14.1" customHeight="1" x14ac:dyDescent="0.25">
      <c r="B142" s="9" t="str">
        <f>'Binary File'!B143</f>
        <v>DEFAULT_MotorInductance_uH</v>
      </c>
      <c r="C142" t="str">
        <f>'Binary File'!C143</f>
        <v>3FA30</v>
      </c>
    </row>
    <row r="143" spans="2:3" ht="14.1" customHeight="1" x14ac:dyDescent="0.25">
      <c r="B143" s="9" t="str">
        <f>'Binary File'!B144</f>
        <v>DEFAULT_MotorResistance_mOhm</v>
      </c>
      <c r="C143" t="str">
        <f>'Binary File'!C144</f>
        <v>3FA34</v>
      </c>
    </row>
    <row r="144" spans="2:3" ht="14.1" customHeight="1" x14ac:dyDescent="0.25">
      <c r="B144" s="9" t="str">
        <f>'Binary File'!B145</f>
        <v>DEFAULT_MotorPoles</v>
      </c>
      <c r="C144" t="str">
        <f>'Binary File'!C145</f>
        <v>3FA38</v>
      </c>
    </row>
    <row r="145" spans="2:3" ht="14.1" customHeight="1" x14ac:dyDescent="0.25">
      <c r="B145" s="9" t="str">
        <f>'Binary File'!B146</f>
        <v>DEFAULT_MotorTorqueConstant_uNmA</v>
      </c>
      <c r="C145" t="str">
        <f>'Binary File'!C146</f>
        <v>3FA3C</v>
      </c>
    </row>
    <row r="146" spans="2:3" ht="14.1" customHeight="1" x14ac:dyDescent="0.25">
      <c r="B146" s="9" t="str">
        <f>'Binary File'!B147</f>
        <v>DEFAULT_MotorRatedContinuosCurrent_mA</v>
      </c>
      <c r="C146" t="str">
        <f>'Binary File'!C147</f>
        <v>3FA40</v>
      </c>
    </row>
    <row r="147" spans="2:3" ht="14.1" customHeight="1" x14ac:dyDescent="0.25">
      <c r="B147" s="9" t="str">
        <f>'Binary File'!B148</f>
        <v>DEFAULT_MotorRatedPeakCurrent_mA</v>
      </c>
      <c r="C147" t="str">
        <f>'Binary File'!C148</f>
        <v>3FA44</v>
      </c>
    </row>
    <row r="148" spans="2:3" ht="14.1" customHeight="1" x14ac:dyDescent="0.25">
      <c r="B148" s="9" t="str">
        <f>'Binary File'!B149</f>
        <v>DEFAULT_MotorSpeedLimit_RPM</v>
      </c>
      <c r="C148" t="str">
        <f>'Binary File'!C149</f>
        <v>3FA48</v>
      </c>
    </row>
    <row r="149" spans="2:3" ht="14.1" customHeight="1" x14ac:dyDescent="0.25">
      <c r="B149" s="9" t="str">
        <f>'Binary File'!B150</f>
        <v>DEFAULT_RESERVED_MOTOR</v>
      </c>
      <c r="C149" t="str">
        <f>'Binary File'!C150</f>
        <v>3FA4C</v>
      </c>
    </row>
    <row r="150" spans="2:3" ht="14.1" customHeight="1" x14ac:dyDescent="0.25">
      <c r="B150" s="9" t="str">
        <f>'Binary File'!B151</f>
        <v>DEFAULT_RESERVED_MOTOR</v>
      </c>
      <c r="C150" t="str">
        <f>'Binary File'!C151</f>
        <v>3FA50</v>
      </c>
    </row>
    <row r="151" spans="2:3" ht="14.1" customHeight="1" x14ac:dyDescent="0.25">
      <c r="B151" s="9" t="str">
        <f>'Binary File'!B152</f>
        <v>DEFAULT_RESERVED_MOTOR</v>
      </c>
      <c r="C151" t="str">
        <f>'Binary File'!C152</f>
        <v>3FA54</v>
      </c>
    </row>
    <row r="152" spans="2:3" ht="14.1" customHeight="1" x14ac:dyDescent="0.25">
      <c r="B152" s="9" t="str">
        <f>'Binary File'!B153</f>
        <v>DEFAULT_RESERVED_MOTOR</v>
      </c>
      <c r="C152" t="str">
        <f>'Binary File'!C153</f>
        <v>3FA58</v>
      </c>
    </row>
    <row r="153" spans="2:3" ht="14.1" customHeight="1" x14ac:dyDescent="0.25">
      <c r="B153" s="9" t="str">
        <f>'Binary File'!B154</f>
        <v>DEFAULT_RESERVED_MOTOR</v>
      </c>
      <c r="C153" t="str">
        <f>'Binary File'!C154</f>
        <v>3FA5C</v>
      </c>
    </row>
    <row r="154" spans="2:3" ht="14.1" customHeight="1" x14ac:dyDescent="0.25">
      <c r="B154" s="9" t="str">
        <f>'Binary File'!B155</f>
        <v>DEFAULT_RESERVED_MOTOR</v>
      </c>
      <c r="C154" t="str">
        <f>'Binary File'!C155</f>
        <v>3FA60</v>
      </c>
    </row>
    <row r="155" spans="2:3" ht="14.1" customHeight="1" x14ac:dyDescent="0.25">
      <c r="B155" s="9" t="str">
        <f>'Binary File'!B156</f>
        <v>DEFAULT_RESERVED_MOTOR</v>
      </c>
      <c r="C155" t="str">
        <f>'Binary File'!C156</f>
        <v>3FA64</v>
      </c>
    </row>
    <row r="156" spans="2:3" ht="14.1" customHeight="1" x14ac:dyDescent="0.25">
      <c r="B156" s="9" t="str">
        <f>'Binary File'!B157</f>
        <v>DEFAULT_RESERVED_MOTOR</v>
      </c>
      <c r="C156" t="str">
        <f>'Binary File'!C157</f>
        <v>3FA68</v>
      </c>
    </row>
    <row r="157" spans="2:3" ht="14.1" customHeight="1" x14ac:dyDescent="0.25">
      <c r="B157" s="9" t="str">
        <f>'Binary File'!B158</f>
        <v>DEFAULT_RESERVED_MOTOR</v>
      </c>
      <c r="C157" t="str">
        <f>'Binary File'!C158</f>
        <v>3FA6C</v>
      </c>
    </row>
    <row r="158" spans="2:3" ht="14.1" customHeight="1" x14ac:dyDescent="0.25">
      <c r="B158" s="9" t="str">
        <f>'Binary File'!B159</f>
        <v>DEFAULT_RESERVED_MOTOR</v>
      </c>
      <c r="C158" t="str">
        <f>'Binary File'!C159</f>
        <v>3FA70</v>
      </c>
    </row>
    <row r="159" spans="2:3" ht="14.1" customHeight="1" x14ac:dyDescent="0.25">
      <c r="B159" s="9" t="str">
        <f>'Binary File'!B160</f>
        <v>DEFAULT_RESERVED_MOTOR</v>
      </c>
      <c r="C159" t="str">
        <f>'Binary File'!C160</f>
        <v>3FA74</v>
      </c>
    </row>
    <row r="160" spans="2:3" ht="14.1" customHeight="1" x14ac:dyDescent="0.25">
      <c r="B160" s="9" t="str">
        <f>'Binary File'!B161</f>
        <v>DEFAULT_RESERVED_MOTOR</v>
      </c>
      <c r="C160" t="str">
        <f>'Binary File'!C161</f>
        <v>3FA78</v>
      </c>
    </row>
    <row r="161" spans="2:3" ht="14.1" customHeight="1" x14ac:dyDescent="0.25">
      <c r="B161" s="9" t="str">
        <f>'Binary File'!B162</f>
        <v>DEFAULT_RESERVED_MOTOR</v>
      </c>
      <c r="C161" t="str">
        <f>'Binary File'!C162</f>
        <v>3FA7C</v>
      </c>
    </row>
    <row r="162" spans="2:3" ht="14.1" customHeight="1" x14ac:dyDescent="0.25">
      <c r="B162" s="9" t="str">
        <f>'Binary File'!B163</f>
        <v>DEFAULT_RESERVED_MOTOR</v>
      </c>
      <c r="C162" t="str">
        <f>'Binary File'!C163</f>
        <v>3FA80</v>
      </c>
    </row>
    <row r="163" spans="2:3" ht="14.1" customHeight="1" x14ac:dyDescent="0.25">
      <c r="B163" s="9" t="str">
        <f>'Binary File'!B164</f>
        <v>DEFAULT_RESERVED_MOTOR</v>
      </c>
      <c r="C163" t="str">
        <f>'Binary File'!C164</f>
        <v>3FA84</v>
      </c>
    </row>
    <row r="164" spans="2:3" ht="14.1" customHeight="1" x14ac:dyDescent="0.25">
      <c r="B164" s="9" t="str">
        <f>'Binary File'!B165</f>
        <v>DEFAULT_RESERVED_MOTOR</v>
      </c>
      <c r="C164" t="str">
        <f>'Binary File'!C165</f>
        <v>3FA88</v>
      </c>
    </row>
    <row r="165" spans="2:3" ht="14.1" customHeight="1" x14ac:dyDescent="0.25">
      <c r="B165" s="9" t="str">
        <f>'Binary File'!B166</f>
        <v>DEFAULT_RESERVED_MOTOR</v>
      </c>
      <c r="C165" t="str">
        <f>'Binary File'!C166</f>
        <v>3FA8C</v>
      </c>
    </row>
    <row r="166" spans="2:3" ht="14.1" customHeight="1" x14ac:dyDescent="0.25">
      <c r="B166" s="9" t="str">
        <f>'Binary File'!B167</f>
        <v>DEFAULT_RESERVED_MOTOR</v>
      </c>
      <c r="C166" t="str">
        <f>'Binary File'!C167</f>
        <v>3FA90</v>
      </c>
    </row>
    <row r="167" spans="2:3" ht="14.1" customHeight="1" x14ac:dyDescent="0.25">
      <c r="B167" s="9" t="str">
        <f>'Binary File'!B168</f>
        <v>DEFAULT_RESERVED_MOTOR</v>
      </c>
      <c r="C167" t="str">
        <f>'Binary File'!C168</f>
        <v>3FA94</v>
      </c>
    </row>
    <row r="168" spans="2:3" ht="14.1" customHeight="1" x14ac:dyDescent="0.25">
      <c r="B168" s="9" t="str">
        <f>'Binary File'!B169</f>
        <v>DEFAULT_RESERVED_MOTOR</v>
      </c>
      <c r="C168" t="str">
        <f>'Binary File'!C169</f>
        <v>3FA98</v>
      </c>
    </row>
    <row r="169" spans="2:3" ht="14.1" customHeight="1" x14ac:dyDescent="0.25">
      <c r="B169" s="9" t="str">
        <f>'Binary File'!B170</f>
        <v>DEFAULT_RESERVED_MOTOR</v>
      </c>
      <c r="C169" t="str">
        <f>'Binary File'!C170</f>
        <v>3FA9C</v>
      </c>
    </row>
    <row r="170" spans="2:3" ht="14.1" customHeight="1" x14ac:dyDescent="0.25">
      <c r="B170" s="9" t="str">
        <f>'Binary File'!B171</f>
        <v>DEFAULT_enRotorPoleAngleSensorModelNumber1</v>
      </c>
      <c r="C170" t="str">
        <f>'Binary File'!C171</f>
        <v>3FAA0</v>
      </c>
    </row>
    <row r="171" spans="2:3" ht="14.1" customHeight="1" x14ac:dyDescent="0.25">
      <c r="B171" s="9" t="str">
        <f>'Binary File'!B172</f>
        <v>DEFAULT_enRotorPoleAngleSensorModelNumber2</v>
      </c>
      <c r="C171" t="str">
        <f>'Binary File'!C172</f>
        <v>3FAA4</v>
      </c>
    </row>
    <row r="172" spans="2:3" ht="14.1" customHeight="1" x14ac:dyDescent="0.25">
      <c r="B172" s="9" t="str">
        <f>'Binary File'!B173</f>
        <v>DEFAULT_enRotorPoleAngleSensorModelNumber3</v>
      </c>
      <c r="C172" t="str">
        <f>'Binary File'!C173</f>
        <v>3FAA8</v>
      </c>
    </row>
    <row r="173" spans="2:3" ht="14.1" customHeight="1" x14ac:dyDescent="0.25">
      <c r="B173" s="9" t="str">
        <f>'Binary File'!B174</f>
        <v>DEFAULT_enRotorVelocitySensorModelNumber1</v>
      </c>
      <c r="C173" t="str">
        <f>'Binary File'!C174</f>
        <v>3FAAC</v>
      </c>
    </row>
    <row r="174" spans="2:3" ht="14.1" customHeight="1" x14ac:dyDescent="0.25">
      <c r="B174" s="9" t="str">
        <f>'Binary File'!B175</f>
        <v>DEFAULT_enRotorVelocitySensorModelNumber2</v>
      </c>
      <c r="C174" t="str">
        <f>'Binary File'!C175</f>
        <v>3FAB0</v>
      </c>
    </row>
    <row r="175" spans="2:3" ht="14.1" customHeight="1" x14ac:dyDescent="0.25">
      <c r="B175" s="9" t="str">
        <f>'Binary File'!B176</f>
        <v>DEFAULT_enRotorVelocitySensorModelNumber3</v>
      </c>
      <c r="C175" t="str">
        <f>'Binary File'!C176</f>
        <v>3FAB4</v>
      </c>
    </row>
    <row r="176" spans="2:3" ht="14.1" customHeight="1" x14ac:dyDescent="0.25">
      <c r="B176" s="9" t="str">
        <f>'Binary File'!B177</f>
        <v>DEFAULT_enRotorPositionSensorModelNumber1</v>
      </c>
      <c r="C176" t="str">
        <f>'Binary File'!C177</f>
        <v>3FAB8</v>
      </c>
    </row>
    <row r="177" spans="2:3" ht="14.1" customHeight="1" x14ac:dyDescent="0.25">
      <c r="B177" s="9" t="str">
        <f>'Binary File'!B178</f>
        <v>DEFAULT_enRotorPositionSensorModelNumber2</v>
      </c>
      <c r="C177" t="str">
        <f>'Binary File'!C178</f>
        <v>3FABC</v>
      </c>
    </row>
    <row r="178" spans="2:3" ht="14.1" customHeight="1" x14ac:dyDescent="0.25">
      <c r="B178" s="9" t="str">
        <f>'Binary File'!B179</f>
        <v>DEFAULT_enRotorPositionSensorModelNumber3</v>
      </c>
      <c r="C178" t="str">
        <f>'Binary File'!C179</f>
        <v>3FAC0</v>
      </c>
    </row>
    <row r="179" spans="2:3" ht="14.1" customHeight="1" x14ac:dyDescent="0.25">
      <c r="B179" s="9" t="str">
        <f>'Binary File'!B180</f>
        <v>DEFAULT_enRotorPoleAngleSensorSelect</v>
      </c>
      <c r="C179" t="str">
        <f>'Binary File'!C180</f>
        <v>3FAC4</v>
      </c>
    </row>
    <row r="180" spans="2:3" ht="14.1" customHeight="1" x14ac:dyDescent="0.25">
      <c r="B180" s="9" t="str">
        <f>'Binary File'!B181</f>
        <v>DEFAULT_enRotorVelocitySensorSelect</v>
      </c>
      <c r="C180" t="str">
        <f>'Binary File'!C181</f>
        <v>3FAC8</v>
      </c>
    </row>
    <row r="181" spans="2:3" ht="14.1" customHeight="1" x14ac:dyDescent="0.25">
      <c r="B181" s="9" t="str">
        <f>'Binary File'!B182</f>
        <v>DEFAULT_enRotorPositionSensorSelect</v>
      </c>
      <c r="C181" t="str">
        <f>'Binary File'!C182</f>
        <v>3FACC</v>
      </c>
    </row>
    <row r="182" spans="2:3" ht="14.1" customHeight="1" x14ac:dyDescent="0.25">
      <c r="B182" s="9" t="str">
        <f>'Binary File'!B183</f>
        <v>DEFAULT_isHallEffectSensorAvailable</v>
      </c>
      <c r="C182" t="str">
        <f>'Binary File'!C183</f>
        <v>3FAD0</v>
      </c>
    </row>
    <row r="183" spans="2:3" ht="14.1" customHeight="1" x14ac:dyDescent="0.25">
      <c r="B183" s="9" t="str">
        <f>'Binary File'!B184</f>
        <v>DEFAULT_isQuadratureEncoderAvailable</v>
      </c>
      <c r="C183" t="str">
        <f>'Binary File'!C184</f>
        <v>3FAD4</v>
      </c>
    </row>
    <row r="184" spans="2:3" ht="14.1" customHeight="1" x14ac:dyDescent="0.25">
      <c r="B184" s="9" t="str">
        <f>'Binary File'!B185</f>
        <v>DEFAULT_isMASeriesSensorAvailable</v>
      </c>
      <c r="C184" t="str">
        <f>'Binary File'!C185</f>
        <v>3FAD8</v>
      </c>
    </row>
    <row r="185" spans="2:3" ht="14.1" customHeight="1" x14ac:dyDescent="0.25">
      <c r="B185" s="9" t="str">
        <f>'Binary File'!B186</f>
        <v>DEFAULT_isCAMSeriesSensorAvailable</v>
      </c>
      <c r="C185" t="str">
        <f>'Binary File'!C186</f>
        <v>3FADC</v>
      </c>
    </row>
    <row r="186" spans="2:3" ht="14.1" customHeight="1" x14ac:dyDescent="0.25">
      <c r="B186" s="9" t="str">
        <f>'Binary File'!B187</f>
        <v>DEFAULT_QuadratureEncoderCountsPerRev</v>
      </c>
      <c r="C186" t="str">
        <f>'Binary File'!C187</f>
        <v>3FAE0</v>
      </c>
    </row>
    <row r="187" spans="2:3" ht="14.1" customHeight="1" x14ac:dyDescent="0.25">
      <c r="B187" s="9" t="str">
        <f>'Binary File'!B188</f>
        <v>DEFAULT_isSwapQuadratureEncoderChannels</v>
      </c>
      <c r="C187" t="str">
        <f>'Binary File'!C188</f>
        <v>3FAE4</v>
      </c>
    </row>
    <row r="188" spans="2:3" ht="14.1" customHeight="1" x14ac:dyDescent="0.25">
      <c r="B188" s="9" t="str">
        <f>'Binary File'!B189</f>
        <v>DEFAULT_isComplementHallSignals</v>
      </c>
      <c r="C188" t="str">
        <f>'Binary File'!C189</f>
        <v>3FAE8</v>
      </c>
    </row>
    <row r="189" spans="2:3" ht="14.1" customHeight="1" x14ac:dyDescent="0.25">
      <c r="B189" s="9" t="str">
        <f>'Binary File'!B190</f>
        <v>DEFAULT_ForcedAlignDelayTimemS</v>
      </c>
      <c r="C189" t="str">
        <f>'Binary File'!C190</f>
        <v>3FAEC</v>
      </c>
    </row>
    <row r="190" spans="2:3" ht="14.1" customHeight="1" x14ac:dyDescent="0.25">
      <c r="B190" s="9" t="str">
        <f>'Binary File'!B191</f>
        <v>DEFAULT_isARSeriesSensorAvailable</v>
      </c>
      <c r="C190" t="str">
        <f>'Binary File'!C191</f>
        <v>3FAF0</v>
      </c>
    </row>
    <row r="191" spans="2:3" ht="14.1" customHeight="1" x14ac:dyDescent="0.25">
      <c r="B191" s="9" t="str">
        <f>'Binary File'!B192</f>
        <v>DEFAULT_RESERVED_SENSOR</v>
      </c>
      <c r="C191" t="str">
        <f>'Binary File'!C192</f>
        <v>3FAF4</v>
      </c>
    </row>
    <row r="192" spans="2:3" ht="14.1" customHeight="1" x14ac:dyDescent="0.25">
      <c r="B192" s="9" t="str">
        <f>'Binary File'!B193</f>
        <v>DEFAULT_RESERVED_SENSOR</v>
      </c>
      <c r="C192" t="str">
        <f>'Binary File'!C193</f>
        <v>3FAF8</v>
      </c>
    </row>
    <row r="193" spans="2:3" ht="14.1" customHeight="1" x14ac:dyDescent="0.25">
      <c r="B193" s="9" t="str">
        <f>'Binary File'!B194</f>
        <v>DEFAULT_RESERVED_SENSOR</v>
      </c>
      <c r="C193" t="str">
        <f>'Binary File'!C194</f>
        <v>3FAFC</v>
      </c>
    </row>
    <row r="194" spans="2:3" ht="14.1" customHeight="1" x14ac:dyDescent="0.25">
      <c r="B194" s="9" t="str">
        <f>'Binary File'!B195</f>
        <v>DEFAULT_RESERVED_SENSOR</v>
      </c>
      <c r="C194" t="str">
        <f>'Binary File'!C195</f>
        <v>3FB00</v>
      </c>
    </row>
    <row r="195" spans="2:3" ht="14.1" customHeight="1" x14ac:dyDescent="0.25">
      <c r="B195" s="9" t="str">
        <f>'Binary File'!B196</f>
        <v>DEFAULT_RESERVED_SENSOR</v>
      </c>
      <c r="C195" t="str">
        <f>'Binary File'!C196</f>
        <v>3FB04</v>
      </c>
    </row>
    <row r="196" spans="2:3" ht="14.1" customHeight="1" x14ac:dyDescent="0.25">
      <c r="B196" s="9" t="str">
        <f>'Binary File'!B197</f>
        <v>DEFAULT_RESERVED_SENSOR</v>
      </c>
      <c r="C196" t="str">
        <f>'Binary File'!C197</f>
        <v>3FB08</v>
      </c>
    </row>
    <row r="197" spans="2:3" ht="14.1" customHeight="1" x14ac:dyDescent="0.25">
      <c r="B197" s="9" t="str">
        <f>'Binary File'!B198</f>
        <v>DEFAULT_RESERVED_SENSOR</v>
      </c>
      <c r="C197" t="str">
        <f>'Binary File'!C198</f>
        <v>3FB0C</v>
      </c>
    </row>
    <row r="198" spans="2:3" ht="14.1" customHeight="1" x14ac:dyDescent="0.25">
      <c r="B198" s="9" t="str">
        <f>'Binary File'!B199</f>
        <v>DEFAULT_RESERVED_SENSOR</v>
      </c>
      <c r="C198" t="str">
        <f>'Binary File'!C199</f>
        <v>3FB10</v>
      </c>
    </row>
    <row r="199" spans="2:3" ht="14.1" customHeight="1" x14ac:dyDescent="0.25">
      <c r="B199" s="9" t="str">
        <f>'Binary File'!B200</f>
        <v>DEFAULT_RESERVED_SENSOR</v>
      </c>
      <c r="C199" t="str">
        <f>'Binary File'!C200</f>
        <v>3FB14</v>
      </c>
    </row>
    <row r="200" spans="2:3" ht="14.1" customHeight="1" x14ac:dyDescent="0.25">
      <c r="B200" s="9" t="str">
        <f>'Binary File'!B201</f>
        <v>DEFAULT_RESERVED_SENSOR</v>
      </c>
      <c r="C200" t="str">
        <f>'Binary File'!C201</f>
        <v>3FB18</v>
      </c>
    </row>
    <row r="201" spans="2:3" ht="14.1" customHeight="1" x14ac:dyDescent="0.25">
      <c r="B201" s="9" t="str">
        <f>'Binary File'!B202</f>
        <v>DEFAULT_RESERVED_SENSOR</v>
      </c>
      <c r="C201" t="str">
        <f>'Binary File'!C202</f>
        <v>3FB1C</v>
      </c>
    </row>
    <row r="202" spans="2:3" ht="14.1" customHeight="1" x14ac:dyDescent="0.25">
      <c r="B202" s="9" t="str">
        <f>'Binary File'!B203</f>
        <v>DEFAULT_RESERVED_SENSOR</v>
      </c>
      <c r="C202" t="str">
        <f>'Binary File'!C203</f>
        <v>3FB20</v>
      </c>
    </row>
    <row r="203" spans="2:3" ht="14.1" customHeight="1" x14ac:dyDescent="0.25">
      <c r="B203" s="9" t="str">
        <f>'Binary File'!B204</f>
        <v>DEFAULT_RESERVED_SENSOR</v>
      </c>
      <c r="C203" t="str">
        <f>'Binary File'!C204</f>
        <v>3FB24</v>
      </c>
    </row>
    <row r="204" spans="2:3" ht="14.1" customHeight="1" x14ac:dyDescent="0.25">
      <c r="B204" s="9" t="str">
        <f>'Binary File'!B205</f>
        <v>DEFAULT_RESERVED_SENSOR</v>
      </c>
      <c r="C204" t="str">
        <f>'Binary File'!C205</f>
        <v>3FB28</v>
      </c>
    </row>
    <row r="205" spans="2:3" ht="14.1" customHeight="1" x14ac:dyDescent="0.25">
      <c r="B205" s="9" t="str">
        <f>'Binary File'!B206</f>
        <v>DEFAULT_RESERVED_SENSOR</v>
      </c>
      <c r="C205" t="str">
        <f>'Binary File'!C206</f>
        <v>3FB2C</v>
      </c>
    </row>
    <row r="206" spans="2:3" ht="14.1" customHeight="1" x14ac:dyDescent="0.25">
      <c r="B206" s="9" t="str">
        <f>'Binary File'!B207</f>
        <v>DEFAULT_RESERVED_SENSOR</v>
      </c>
      <c r="C206" t="str">
        <f>'Binary File'!C207</f>
        <v>3FB30</v>
      </c>
    </row>
    <row r="207" spans="2:3" ht="14.1" customHeight="1" x14ac:dyDescent="0.25">
      <c r="B207" s="9" t="str">
        <f>'Binary File'!B208</f>
        <v>DEFAULT_RESERVED_SENSOR</v>
      </c>
      <c r="C207" t="str">
        <f>'Binary File'!C208</f>
        <v>3FB34</v>
      </c>
    </row>
    <row r="208" spans="2:3" ht="14.1" customHeight="1" x14ac:dyDescent="0.25">
      <c r="B208" s="9" t="str">
        <f>'Binary File'!B209</f>
        <v>DEFAULT_RESERVED_SENSOR</v>
      </c>
      <c r="C208" t="str">
        <f>'Binary File'!C209</f>
        <v>3FB38</v>
      </c>
    </row>
    <row r="209" spans="2:3" ht="14.1" customHeight="1" x14ac:dyDescent="0.25">
      <c r="B209" s="9" t="str">
        <f>'Binary File'!B210</f>
        <v>DEFAULT_RESERVED_SENSOR</v>
      </c>
      <c r="C209" t="str">
        <f>'Binary File'!C210</f>
        <v>3FB3C</v>
      </c>
    </row>
    <row r="210" spans="2:3" ht="14.1" customHeight="1" x14ac:dyDescent="0.25">
      <c r="B210" s="9" t="str">
        <f>'Binary File'!B211</f>
        <v>DEFAULT_RESERVED_SENSOR</v>
      </c>
      <c r="C210" t="str">
        <f>'Binary File'!C211</f>
        <v>3FB40</v>
      </c>
    </row>
    <row r="211" spans="2:3" ht="14.1" customHeight="1" x14ac:dyDescent="0.25">
      <c r="B211" s="9" t="str">
        <f>'Binary File'!B212</f>
        <v>DEFAULT_RESERVED_SENSOR</v>
      </c>
      <c r="C211" t="str">
        <f>'Binary File'!C212</f>
        <v>3FB44</v>
      </c>
    </row>
    <row r="212" spans="2:3" ht="14.1" customHeight="1" x14ac:dyDescent="0.25">
      <c r="B212" s="9" t="str">
        <f>'Binary File'!B213</f>
        <v>DEFAULT_RESERVED_SENSOR</v>
      </c>
      <c r="C212" t="str">
        <f>'Binary File'!C213</f>
        <v>3FB48</v>
      </c>
    </row>
    <row r="213" spans="2:3" ht="14.1" customHeight="1" x14ac:dyDescent="0.25">
      <c r="B213" s="9" t="str">
        <f>'Binary File'!B214</f>
        <v>DEFAULT_RESERVED_SENSOR</v>
      </c>
      <c r="C213" t="str">
        <f>'Binary File'!C214</f>
        <v>3FB4C</v>
      </c>
    </row>
    <row r="214" spans="2:3" ht="14.1" customHeight="1" x14ac:dyDescent="0.25">
      <c r="B214" s="9" t="str">
        <f>'Binary File'!B215</f>
        <v>DEFAULT_RESERVED_SENSOR</v>
      </c>
      <c r="C214" t="str">
        <f>'Binary File'!C215</f>
        <v>3FB50</v>
      </c>
    </row>
    <row r="215" spans="2:3" ht="14.1" customHeight="1" x14ac:dyDescent="0.25">
      <c r="B215" s="9" t="str">
        <f>'Binary File'!B216</f>
        <v>DEFAULT_RESERVED_SENSOR</v>
      </c>
      <c r="C215" t="str">
        <f>'Binary File'!C216</f>
        <v>3FB54</v>
      </c>
    </row>
    <row r="216" spans="2:3" ht="14.1" customHeight="1" x14ac:dyDescent="0.25">
      <c r="B216" s="9" t="str">
        <f>'Binary File'!B217</f>
        <v>DEFAULT_RESERVED_SENSOR</v>
      </c>
      <c r="C216" t="str">
        <f>'Binary File'!C217</f>
        <v>3FB58</v>
      </c>
    </row>
    <row r="217" spans="2:3" ht="14.1" customHeight="1" x14ac:dyDescent="0.25">
      <c r="B217" s="9" t="str">
        <f>'Binary File'!B218</f>
        <v>DEFAULT_RESERVED_SENSOR</v>
      </c>
      <c r="C217" t="str">
        <f>'Binary File'!C218</f>
        <v>3FB5C</v>
      </c>
    </row>
    <row r="218" spans="2:3" ht="14.1" customHeight="1" x14ac:dyDescent="0.25">
      <c r="B218" s="9" t="str">
        <f>'Binary File'!B219</f>
        <v>DEFAULT_RESERVED_SENSOR</v>
      </c>
      <c r="C218" t="str">
        <f>'Binary File'!C219</f>
        <v>3FB60</v>
      </c>
    </row>
    <row r="219" spans="2:3" ht="14.1" customHeight="1" x14ac:dyDescent="0.25">
      <c r="B219" s="9" t="str">
        <f>'Binary File'!B220</f>
        <v>DEFAULT_RESERVED_SENSOR</v>
      </c>
      <c r="C219" t="str">
        <f>'Binary File'!C220</f>
        <v>3FB64</v>
      </c>
    </row>
    <row r="220" spans="2:3" ht="14.1" customHeight="1" x14ac:dyDescent="0.25">
      <c r="B220" s="9" t="str">
        <f>'Binary File'!B221</f>
        <v>DEFAULT_RESERVED_SENSOR</v>
      </c>
      <c r="C220" t="str">
        <f>'Binary File'!C221</f>
        <v>3FB68</v>
      </c>
    </row>
    <row r="221" spans="2:3" ht="14.1" customHeight="1" x14ac:dyDescent="0.25">
      <c r="B221" s="9" t="str">
        <f>'Binary File'!B222</f>
        <v>DEFAULT_RESERVED_SENSOR</v>
      </c>
      <c r="C221" t="str">
        <f>'Binary File'!C222</f>
        <v>3FB6C</v>
      </c>
    </row>
    <row r="222" spans="2:3" ht="14.1" customHeight="1" x14ac:dyDescent="0.25">
      <c r="B222" s="9" t="str">
        <f>'Binary File'!B229</f>
        <v>DEFAULT_RESERVED_SENSOR</v>
      </c>
      <c r="C222" t="str">
        <f>'Binary File'!C229</f>
        <v>3FB88</v>
      </c>
    </row>
    <row r="223" spans="2:3" ht="14.1" customHeight="1" x14ac:dyDescent="0.25">
      <c r="B223" s="9" t="str">
        <f>'Binary File'!B230</f>
        <v>DEFAULT_RESERVED_SENSOR</v>
      </c>
      <c r="C223" t="str">
        <f>'Binary File'!C230</f>
        <v>3FB8C</v>
      </c>
    </row>
    <row r="224" spans="2:3" ht="14.1" customHeight="1" x14ac:dyDescent="0.25">
      <c r="B224" s="9" t="str">
        <f>'Binary File'!B231</f>
        <v>DEFAULT_RESERVED_SENSOR</v>
      </c>
      <c r="C224" t="str">
        <f>'Binary File'!C231</f>
        <v>3FB90</v>
      </c>
    </row>
    <row r="225" spans="2:3" ht="14.1" customHeight="1" x14ac:dyDescent="0.25">
      <c r="B225" s="9" t="str">
        <f>'Binary File'!B232</f>
        <v>DEFAULT_RESERVED_SENSOR</v>
      </c>
      <c r="C225" t="str">
        <f>'Binary File'!C232</f>
        <v>3FB94</v>
      </c>
    </row>
    <row r="226" spans="2:3" ht="14.1" customHeight="1" x14ac:dyDescent="0.25">
      <c r="B226" s="9" t="str">
        <f>'Binary File'!B233</f>
        <v>DEFAULT_RESERVED_SENSOR</v>
      </c>
      <c r="C226" t="str">
        <f>'Binary File'!C233</f>
        <v>3FB98</v>
      </c>
    </row>
    <row r="227" spans="2:3" ht="14.1" customHeight="1" x14ac:dyDescent="0.25">
      <c r="B227" s="9" t="str">
        <f>'Binary File'!B234</f>
        <v>DEFAULT_RESERVED_SENSOR</v>
      </c>
      <c r="C227" t="str">
        <f>'Binary File'!C234</f>
        <v>3FB9C</v>
      </c>
    </row>
    <row r="228" spans="2:3" ht="14.1" customHeight="1" x14ac:dyDescent="0.25">
      <c r="B228" s="9" t="str">
        <f>'Binary File'!B235</f>
        <v>DEFAULT_LeadModelNumber1</v>
      </c>
      <c r="C228" t="str">
        <f>'Binary File'!C235</f>
        <v>3FBA0</v>
      </c>
    </row>
    <row r="229" spans="2:3" ht="14.1" customHeight="1" x14ac:dyDescent="0.25">
      <c r="B229" s="9" t="str">
        <f>'Binary File'!B236</f>
        <v>DEFAULT_LeadModelNumber2</v>
      </c>
      <c r="C229" t="str">
        <f>'Binary File'!C236</f>
        <v>3FBA4</v>
      </c>
    </row>
    <row r="230" spans="2:3" ht="14.1" customHeight="1" x14ac:dyDescent="0.25">
      <c r="B230" s="9" t="str">
        <f>'Binary File'!B237</f>
        <v>DEFAULT_LeadModelNumber3</v>
      </c>
      <c r="C230" t="str">
        <f>'Binary File'!C237</f>
        <v>3FBA8</v>
      </c>
    </row>
    <row r="231" spans="2:3" ht="14.1" customHeight="1" x14ac:dyDescent="0.25">
      <c r="B231" s="9" t="str">
        <f>'Binary File'!B238</f>
        <v>DEFAULT_LeadPitchmRevPerInch</v>
      </c>
      <c r="C231" t="str">
        <f>'Binary File'!C238</f>
        <v>3FBAC</v>
      </c>
    </row>
    <row r="232" spans="2:3" ht="14.1" customHeight="1" x14ac:dyDescent="0.25">
      <c r="B232" s="9" t="str">
        <f>'Binary File'!B239</f>
        <v>DEFAULT_LeadMaxVelocityRPM</v>
      </c>
      <c r="C232" t="str">
        <f>'Binary File'!C239</f>
        <v>3FBB0</v>
      </c>
    </row>
    <row r="233" spans="2:3" ht="14.1" customHeight="1" x14ac:dyDescent="0.25">
      <c r="B233" s="9" t="str">
        <f>'Binary File'!B240</f>
        <v>DEFAULT_RESERVED_LEAD</v>
      </c>
      <c r="C233" t="str">
        <f>'Binary File'!C240</f>
        <v>3FBB4</v>
      </c>
    </row>
    <row r="234" spans="2:3" ht="14.1" customHeight="1" x14ac:dyDescent="0.25">
      <c r="B234" s="9" t="str">
        <f>'Binary File'!B241</f>
        <v>DEFAULT_RESERVED_LEAD</v>
      </c>
      <c r="C234" t="str">
        <f>'Binary File'!C241</f>
        <v>3FBB8</v>
      </c>
    </row>
    <row r="235" spans="2:3" ht="14.1" customHeight="1" x14ac:dyDescent="0.25">
      <c r="B235" s="9" t="str">
        <f>'Binary File'!B242</f>
        <v>DEFAULT_RESERVED_LEAD</v>
      </c>
      <c r="C235" t="str">
        <f>'Binary File'!C242</f>
        <v>3FBBC</v>
      </c>
    </row>
    <row r="236" spans="2:3" ht="14.1" customHeight="1" x14ac:dyDescent="0.25">
      <c r="B236" s="9" t="str">
        <f>'Binary File'!B243</f>
        <v>DEFAULT_RESERVED_LEAD</v>
      </c>
      <c r="C236" t="str">
        <f>'Binary File'!C243</f>
        <v>3FBC0</v>
      </c>
    </row>
    <row r="237" spans="2:3" ht="14.1" customHeight="1" x14ac:dyDescent="0.25">
      <c r="B237" s="9" t="str">
        <f>'Binary File'!B244</f>
        <v>DEFAULT_RESERVED_LEAD</v>
      </c>
      <c r="C237" t="str">
        <f>'Binary File'!C244</f>
        <v>3FBC4</v>
      </c>
    </row>
    <row r="238" spans="2:3" ht="14.1" customHeight="1" x14ac:dyDescent="0.25">
      <c r="B238" s="9" t="str">
        <f>'Binary File'!B245</f>
        <v>DEFAULT_RESERVED_LEAD</v>
      </c>
      <c r="C238" t="str">
        <f>'Binary File'!C245</f>
        <v>3FBC8</v>
      </c>
    </row>
    <row r="239" spans="2:3" ht="14.1" customHeight="1" x14ac:dyDescent="0.25">
      <c r="B239" s="9" t="str">
        <f>'Binary File'!B246</f>
        <v>DEFAULT_RESERVED_LEAD</v>
      </c>
      <c r="C239" t="str">
        <f>'Binary File'!C246</f>
        <v>3FBCC</v>
      </c>
    </row>
    <row r="240" spans="2:3" ht="14.1" customHeight="1" x14ac:dyDescent="0.25">
      <c r="B240" s="9" t="str">
        <f>'Binary File'!B247</f>
        <v>DEFAULT_RESERVED_LEAD</v>
      </c>
      <c r="C240" t="str">
        <f>'Binary File'!C247</f>
        <v>3FBD0</v>
      </c>
    </row>
    <row r="241" spans="2:3" ht="14.1" customHeight="1" x14ac:dyDescent="0.25">
      <c r="B241" s="9" t="str">
        <f>'Binary File'!B248</f>
        <v>DEFAULT_RESERVED_LEAD</v>
      </c>
      <c r="C241" t="str">
        <f>'Binary File'!C248</f>
        <v>3FBD4</v>
      </c>
    </row>
    <row r="242" spans="2:3" ht="14.1" customHeight="1" x14ac:dyDescent="0.25">
      <c r="B242" s="9" t="str">
        <f>'Binary File'!B249</f>
        <v>DEFAULT_RESERVED_LEAD</v>
      </c>
      <c r="C242" t="str">
        <f>'Binary File'!C249</f>
        <v>3FBD8</v>
      </c>
    </row>
    <row r="243" spans="2:3" ht="14.1" customHeight="1" x14ac:dyDescent="0.25">
      <c r="B243" s="9" t="str">
        <f>'Binary File'!B250</f>
        <v>DEFAULT_RESERVED_LEAD</v>
      </c>
      <c r="C243" t="str">
        <f>'Binary File'!C250</f>
        <v>3FBDC</v>
      </c>
    </row>
    <row r="244" spans="2:3" ht="14.1" customHeight="1" x14ac:dyDescent="0.25">
      <c r="B244" s="9" t="str">
        <f>'Binary File'!B251</f>
        <v>DEFAULT_RESERVED_LEAD</v>
      </c>
      <c r="C244" t="str">
        <f>'Binary File'!C251</f>
        <v>3FBE0</v>
      </c>
    </row>
    <row r="245" spans="2:3" ht="14.1" customHeight="1" x14ac:dyDescent="0.25">
      <c r="B245" s="9" t="str">
        <f>'Binary File'!B252</f>
        <v>DEFAULT_RESERVED_LEAD</v>
      </c>
      <c r="C245" t="str">
        <f>'Binary File'!C252</f>
        <v>3FBE4</v>
      </c>
    </row>
    <row r="246" spans="2:3" ht="14.1" customHeight="1" x14ac:dyDescent="0.25">
      <c r="B246" s="9" t="str">
        <f>'Binary File'!B253</f>
        <v>DEFAULT_RESERVED_LEAD</v>
      </c>
      <c r="C246" t="str">
        <f>'Binary File'!C253</f>
        <v>3FBE8</v>
      </c>
    </row>
    <row r="247" spans="2:3" ht="14.1" customHeight="1" x14ac:dyDescent="0.25">
      <c r="B247" s="9" t="str">
        <f>'Binary File'!B254</f>
        <v>DEFAULT_RESERVED_LEAD</v>
      </c>
      <c r="C247" t="str">
        <f>'Binary File'!C254</f>
        <v>3FBEC</v>
      </c>
    </row>
    <row r="248" spans="2:3" ht="14.1" customHeight="1" x14ac:dyDescent="0.25">
      <c r="B248" s="9" t="str">
        <f>'Binary File'!B255</f>
        <v>DEFAULT_RESERVED_LEAD</v>
      </c>
      <c r="C248" t="str">
        <f>'Binary File'!C255</f>
        <v>3FBF0</v>
      </c>
    </row>
    <row r="249" spans="2:3" ht="14.1" customHeight="1" x14ac:dyDescent="0.25">
      <c r="B249" s="9" t="str">
        <f>'Binary File'!B256</f>
        <v>DEFAULT_RESERVED_LEAD</v>
      </c>
      <c r="C249" t="str">
        <f>'Binary File'!C256</f>
        <v>3FBF4</v>
      </c>
    </row>
    <row r="250" spans="2:3" ht="14.1" customHeight="1" x14ac:dyDescent="0.25">
      <c r="B250" s="9" t="str">
        <f>'Binary File'!B257</f>
        <v>DEFAULT_RESERVED_LEAD</v>
      </c>
      <c r="C250" t="str">
        <f>'Binary File'!C257</f>
        <v>3FBF8</v>
      </c>
    </row>
    <row r="251" spans="2:3" ht="14.1" customHeight="1" x14ac:dyDescent="0.25">
      <c r="B251" s="9" t="str">
        <f>'Binary File'!B258</f>
        <v>DEFAULT_RESERVED_LEAD</v>
      </c>
      <c r="C251" t="str">
        <f>'Binary File'!C258</f>
        <v>3FBFC</v>
      </c>
    </row>
    <row r="252" spans="2:3" ht="14.1" customHeight="1" x14ac:dyDescent="0.25">
      <c r="B252" s="9" t="str">
        <f>'Binary File'!B259</f>
        <v>DEFAULT_RESERVED_LEAD</v>
      </c>
      <c r="C252" t="str">
        <f>'Binary File'!C259</f>
        <v>3FC00</v>
      </c>
    </row>
    <row r="253" spans="2:3" ht="14.1" customHeight="1" x14ac:dyDescent="0.25">
      <c r="B253" s="9" t="str">
        <f>'Binary File'!B260</f>
        <v>DEFAULT_RESERVED_LEAD</v>
      </c>
      <c r="C253" t="str">
        <f>'Binary File'!C260</f>
        <v>3FC04</v>
      </c>
    </row>
    <row r="254" spans="2:3" ht="14.1" customHeight="1" x14ac:dyDescent="0.25">
      <c r="B254" s="9" t="str">
        <f>'Binary File'!B261</f>
        <v>DEFAULT_RESERVED_LEAD</v>
      </c>
      <c r="C254" t="str">
        <f>'Binary File'!C261</f>
        <v>3FC08</v>
      </c>
    </row>
    <row r="255" spans="2:3" ht="14.1" customHeight="1" x14ac:dyDescent="0.25">
      <c r="B255" s="9" t="str">
        <f>'Binary File'!B262</f>
        <v>DEFAULT_RESERVED_LEAD</v>
      </c>
      <c r="C255" t="str">
        <f>'Binary File'!C262</f>
        <v>3FC0C</v>
      </c>
    </row>
    <row r="256" spans="2:3" ht="14.1" customHeight="1" x14ac:dyDescent="0.25">
      <c r="B256" s="9" t="str">
        <f>'Binary File'!B263</f>
        <v>DEFAULT_RESERVED_LEAD</v>
      </c>
      <c r="C256" t="str">
        <f>'Binary File'!C263</f>
        <v>3FC10</v>
      </c>
    </row>
    <row r="257" spans="2:3" ht="14.1" customHeight="1" x14ac:dyDescent="0.25">
      <c r="B257" s="9" t="str">
        <f>'Binary File'!B264</f>
        <v>DEFAULT_RESERVED_LEAD</v>
      </c>
      <c r="C257" t="str">
        <f>'Binary File'!C264</f>
        <v>3FC14</v>
      </c>
    </row>
    <row r="258" spans="2:3" ht="14.1" customHeight="1" x14ac:dyDescent="0.25">
      <c r="B258" s="9" t="str">
        <f>'Binary File'!B265</f>
        <v>DEFAULT_RESERVED_LEAD</v>
      </c>
      <c r="C258" t="str">
        <f>'Binary File'!C265</f>
        <v>3FC18</v>
      </c>
    </row>
    <row r="259" spans="2:3" ht="14.1" customHeight="1" x14ac:dyDescent="0.25">
      <c r="B259" s="9" t="str">
        <f>'Binary File'!B266</f>
        <v>DEFAULT_RESERVED_LEAD</v>
      </c>
      <c r="C259" t="str">
        <f>'Binary File'!C266</f>
        <v>3FC1C</v>
      </c>
    </row>
    <row r="260" spans="2:3" ht="14.1" customHeight="1" x14ac:dyDescent="0.25">
      <c r="B260" s="9" t="str">
        <f>'Binary File'!B267</f>
        <v>DEFAULT_GearBoxModelNumber1</v>
      </c>
      <c r="C260" t="str">
        <f>'Binary File'!C267</f>
        <v>3FC20</v>
      </c>
    </row>
    <row r="261" spans="2:3" ht="14.1" customHeight="1" x14ac:dyDescent="0.25">
      <c r="B261" s="9" t="str">
        <f>'Binary File'!B268</f>
        <v>DEFAULT_GearBoxModelNumber2</v>
      </c>
      <c r="C261" t="str">
        <f>'Binary File'!C268</f>
        <v>3FC24</v>
      </c>
    </row>
    <row r="262" spans="2:3" ht="14.1" customHeight="1" x14ac:dyDescent="0.25">
      <c r="B262" s="9" t="str">
        <f>'Binary File'!B269</f>
        <v>DEFAULT_GearBoxModelNumber3</v>
      </c>
      <c r="C262" t="str">
        <f>'Binary File'!C269</f>
        <v>3FC28</v>
      </c>
    </row>
    <row r="263" spans="2:3" ht="14.1" customHeight="1" x14ac:dyDescent="0.25">
      <c r="B263" s="9" t="str">
        <f>'Binary File'!B270</f>
        <v>DEFAULT_GearRatiomRevPerRev</v>
      </c>
      <c r="C263" t="str">
        <f>'Binary File'!C270</f>
        <v>3FC2C</v>
      </c>
    </row>
    <row r="264" spans="2:3" ht="14.1" customHeight="1" x14ac:dyDescent="0.25">
      <c r="B264" s="9" t="str">
        <f>'Binary File'!B271</f>
        <v>DEFAULT_GearBoxMaxVelocityRPM</v>
      </c>
      <c r="C264" t="str">
        <f>'Binary File'!C271</f>
        <v>3FC30</v>
      </c>
    </row>
    <row r="265" spans="2:3" ht="14.1" customHeight="1" x14ac:dyDescent="0.25">
      <c r="B265" s="9" t="str">
        <f>'Binary File'!B272</f>
        <v>DEFAULT_RESERVED_GEARBOX</v>
      </c>
      <c r="C265" t="str">
        <f>'Binary File'!C272</f>
        <v>3FC34</v>
      </c>
    </row>
    <row r="266" spans="2:3" ht="14.1" customHeight="1" x14ac:dyDescent="0.25">
      <c r="B266" s="9" t="str">
        <f>'Binary File'!B273</f>
        <v>DEFAULT_RESERVED_GEARBOX</v>
      </c>
      <c r="C266" t="str">
        <f>'Binary File'!C273</f>
        <v>3FC38</v>
      </c>
    </row>
    <row r="267" spans="2:3" ht="14.1" customHeight="1" x14ac:dyDescent="0.25">
      <c r="B267" s="9" t="str">
        <f>'Binary File'!B274</f>
        <v>DEFAULT_RESERVED_GEARBOX</v>
      </c>
      <c r="C267" t="str">
        <f>'Binary File'!C274</f>
        <v>3FC3C</v>
      </c>
    </row>
    <row r="268" spans="2:3" ht="14.1" customHeight="1" x14ac:dyDescent="0.25">
      <c r="B268" s="9" t="str">
        <f>'Binary File'!B275</f>
        <v>DEFAULT_RESERVED_GEARBOX</v>
      </c>
      <c r="C268" t="str">
        <f>'Binary File'!C275</f>
        <v>3FC40</v>
      </c>
    </row>
    <row r="269" spans="2:3" ht="14.1" customHeight="1" x14ac:dyDescent="0.25">
      <c r="B269" s="9" t="str">
        <f>'Binary File'!B276</f>
        <v>DEFAULT_RESERVED_GEARBOX</v>
      </c>
      <c r="C269" t="str">
        <f>'Binary File'!C276</f>
        <v>3FC44</v>
      </c>
    </row>
    <row r="270" spans="2:3" ht="14.1" customHeight="1" x14ac:dyDescent="0.25">
      <c r="B270" s="9" t="str">
        <f>'Binary File'!B277</f>
        <v>DEFAULT_RESERVED_GEARBOX</v>
      </c>
      <c r="C270" t="str">
        <f>'Binary File'!C277</f>
        <v>3FC48</v>
      </c>
    </row>
    <row r="271" spans="2:3" ht="14.1" customHeight="1" x14ac:dyDescent="0.25">
      <c r="B271" s="9" t="str">
        <f>'Binary File'!B278</f>
        <v>DEFAULT_RESERVED_GEARBOX</v>
      </c>
      <c r="C271" t="str">
        <f>'Binary File'!C278</f>
        <v>3FC4C</v>
      </c>
    </row>
    <row r="272" spans="2:3" ht="14.1" customHeight="1" x14ac:dyDescent="0.25">
      <c r="B272" s="9" t="str">
        <f>'Binary File'!B279</f>
        <v>DEFAULT_RESERVED_GEARBOX</v>
      </c>
      <c r="C272" t="str">
        <f>'Binary File'!C279</f>
        <v>3FC50</v>
      </c>
    </row>
    <row r="273" spans="2:3" ht="14.1" customHeight="1" x14ac:dyDescent="0.25">
      <c r="B273" s="9" t="str">
        <f>'Binary File'!B280</f>
        <v>DEFAULT_RESERVED_GEARBOX</v>
      </c>
      <c r="C273" t="str">
        <f>'Binary File'!C280</f>
        <v>3FC54</v>
      </c>
    </row>
    <row r="274" spans="2:3" ht="14.1" customHeight="1" x14ac:dyDescent="0.25">
      <c r="B274" s="9" t="str">
        <f>'Binary File'!B281</f>
        <v>DEFAULT_RESERVED_GEARBOX</v>
      </c>
      <c r="C274" t="str">
        <f>'Binary File'!C281</f>
        <v>3FC58</v>
      </c>
    </row>
    <row r="275" spans="2:3" ht="14.1" customHeight="1" x14ac:dyDescent="0.25">
      <c r="B275" s="9" t="str">
        <f>'Binary File'!B282</f>
        <v>DEFAULT_RESERVED_GEARBOX</v>
      </c>
      <c r="C275" t="str">
        <f>'Binary File'!C282</f>
        <v>3FC5C</v>
      </c>
    </row>
    <row r="276" spans="2:3" ht="14.1" customHeight="1" x14ac:dyDescent="0.25">
      <c r="B276" s="9" t="str">
        <f>'Binary File'!B283</f>
        <v>DEFAULT_RESERVED_GEARBOX</v>
      </c>
      <c r="C276" t="str">
        <f>'Binary File'!C283</f>
        <v>3FC60</v>
      </c>
    </row>
    <row r="277" spans="2:3" ht="14.1" customHeight="1" x14ac:dyDescent="0.25">
      <c r="B277" s="9" t="str">
        <f>'Binary File'!B284</f>
        <v>DEFAULT_RESERVED_GEARBOX</v>
      </c>
      <c r="C277" t="str">
        <f>'Binary File'!C284</f>
        <v>3FC64</v>
      </c>
    </row>
    <row r="278" spans="2:3" ht="14.1" customHeight="1" x14ac:dyDescent="0.25">
      <c r="B278" s="9" t="str">
        <f>'Binary File'!B285</f>
        <v>DEFAULT_RESERVED_GEARBOX</v>
      </c>
      <c r="C278" t="str">
        <f>'Binary File'!C285</f>
        <v>3FC68</v>
      </c>
    </row>
    <row r="279" spans="2:3" ht="14.1" customHeight="1" x14ac:dyDescent="0.25">
      <c r="B279" s="9" t="str">
        <f>'Binary File'!B286</f>
        <v>DEFAULT_RESERVED_GEARBOX</v>
      </c>
      <c r="C279" t="str">
        <f>'Binary File'!C286</f>
        <v>3FC6C</v>
      </c>
    </row>
    <row r="280" spans="2:3" ht="14.1" customHeight="1" x14ac:dyDescent="0.25">
      <c r="B280" s="9" t="str">
        <f>'Binary File'!B287</f>
        <v>DEFAULT_RESERVED_GEARBOX</v>
      </c>
      <c r="C280" t="str">
        <f>'Binary File'!C287</f>
        <v>3FC70</v>
      </c>
    </row>
    <row r="281" spans="2:3" ht="14.1" customHeight="1" x14ac:dyDescent="0.25">
      <c r="B281" s="9" t="str">
        <f>'Binary File'!B288</f>
        <v>DEFAULT_RESERVED_GEARBOX</v>
      </c>
      <c r="C281" t="str">
        <f>'Binary File'!C288</f>
        <v>3FC74</v>
      </c>
    </row>
    <row r="282" spans="2:3" ht="14.1" customHeight="1" x14ac:dyDescent="0.25">
      <c r="B282" s="9" t="str">
        <f>'Binary File'!B289</f>
        <v>DEFAULT_RESERVED_GEARBOX</v>
      </c>
      <c r="C282" t="str">
        <f>'Binary File'!C289</f>
        <v>3FC78</v>
      </c>
    </row>
    <row r="283" spans="2:3" ht="14.1" customHeight="1" x14ac:dyDescent="0.25">
      <c r="B283" s="9" t="str">
        <f>'Binary File'!B290</f>
        <v>DEFAULT_RESERVED_GEARBOX</v>
      </c>
      <c r="C283" t="str">
        <f>'Binary File'!C290</f>
        <v>3FC7C</v>
      </c>
    </row>
    <row r="284" spans="2:3" ht="14.1" customHeight="1" x14ac:dyDescent="0.25">
      <c r="B284" s="9" t="str">
        <f>'Binary File'!B291</f>
        <v>DEFAULT_RESERVED_GEARBOX</v>
      </c>
      <c r="C284" t="str">
        <f>'Binary File'!C291</f>
        <v>3FC80</v>
      </c>
    </row>
    <row r="285" spans="2:3" ht="14.1" customHeight="1" x14ac:dyDescent="0.25">
      <c r="B285" s="9" t="str">
        <f>'Binary File'!B292</f>
        <v>DEFAULT_RESERVED_GEARBOX</v>
      </c>
      <c r="C285" t="str">
        <f>'Binary File'!C292</f>
        <v>3FC84</v>
      </c>
    </row>
    <row r="286" spans="2:3" ht="14.1" customHeight="1" x14ac:dyDescent="0.25">
      <c r="B286" s="9" t="str">
        <f>'Binary File'!B293</f>
        <v>DEFAULT_RESERVED_GEARBOX</v>
      </c>
      <c r="C286" t="str">
        <f>'Binary File'!C293</f>
        <v>3FC88</v>
      </c>
    </row>
    <row r="287" spans="2:3" ht="14.1" customHeight="1" x14ac:dyDescent="0.25">
      <c r="B287" s="9" t="str">
        <f>'Binary File'!B294</f>
        <v>DEFAULT_RESERVED_GEARBOX</v>
      </c>
      <c r="C287" t="str">
        <f>'Binary File'!C294</f>
        <v>3FC8C</v>
      </c>
    </row>
    <row r="288" spans="2:3" ht="14.1" customHeight="1" x14ac:dyDescent="0.25">
      <c r="B288" s="9" t="str">
        <f>'Binary File'!B295</f>
        <v>DEFAULT_RESERVED_GEARBOX</v>
      </c>
      <c r="C288" t="str">
        <f>'Binary File'!C295</f>
        <v>3FC90</v>
      </c>
    </row>
    <row r="289" spans="2:3" ht="14.1" customHeight="1" x14ac:dyDescent="0.25">
      <c r="B289" s="9" t="str">
        <f>'Binary File'!B296</f>
        <v>DEFAULT_RESERVED_GEARBOX</v>
      </c>
      <c r="C289" t="str">
        <f>'Binary File'!C296</f>
        <v>3FC94</v>
      </c>
    </row>
    <row r="290" spans="2:3" ht="14.1" customHeight="1" x14ac:dyDescent="0.25">
      <c r="B290" s="9" t="str">
        <f>'Binary File'!B297</f>
        <v>DEFAULT_RESERVED_GEARBOX</v>
      </c>
      <c r="C290" t="str">
        <f>'Binary File'!C297</f>
        <v>3FC98</v>
      </c>
    </row>
    <row r="291" spans="2:3" ht="14.1" customHeight="1" x14ac:dyDescent="0.25">
      <c r="B291" s="9" t="str">
        <f>'Binary File'!B298</f>
        <v>DEFAULT_RESERVED_GEARBOX</v>
      </c>
      <c r="C291" t="str">
        <f>'Binary File'!C298</f>
        <v>3FC9C</v>
      </c>
    </row>
    <row r="292" spans="2:3" ht="14.1" customHeight="1" x14ac:dyDescent="0.25">
      <c r="B292" s="9" t="str">
        <f>'Binary File'!B299</f>
        <v>DEFAULT_BrakeModelNumber1</v>
      </c>
      <c r="C292" t="str">
        <f>'Binary File'!C299</f>
        <v>3FCA0</v>
      </c>
    </row>
    <row r="293" spans="2:3" ht="14.1" customHeight="1" x14ac:dyDescent="0.25">
      <c r="B293" s="9" t="str">
        <f>'Binary File'!B300</f>
        <v>DEFAULT_BrakeModelNumber2</v>
      </c>
      <c r="C293" t="str">
        <f>'Binary File'!C300</f>
        <v>3FCA4</v>
      </c>
    </row>
    <row r="294" spans="2:3" ht="14.1" customHeight="1" x14ac:dyDescent="0.25">
      <c r="B294" s="9" t="str">
        <f>'Binary File'!B301</f>
        <v>DEFAULT_BrakeModelNumber3</v>
      </c>
      <c r="C294" t="str">
        <f>'Binary File'!C301</f>
        <v>3FCA8</v>
      </c>
    </row>
    <row r="295" spans="2:3" ht="14.1" customHeight="1" x14ac:dyDescent="0.25">
      <c r="B295" s="9" t="str">
        <f>'Binary File'!B302</f>
        <v>DEFAULT_BrakeType</v>
      </c>
      <c r="C295" t="str">
        <f>'Binary File'!C302</f>
        <v>3FCAC</v>
      </c>
    </row>
    <row r="296" spans="2:3" ht="14.1" customHeight="1" x14ac:dyDescent="0.25">
      <c r="B296" s="9" t="str">
        <f>'Binary File'!B303</f>
        <v>DEFAULT_BrakeCurrent</v>
      </c>
      <c r="C296" t="str">
        <f>'Binary File'!C303</f>
        <v>3FCB0</v>
      </c>
    </row>
    <row r="297" spans="2:3" ht="14.1" customHeight="1" x14ac:dyDescent="0.25">
      <c r="B297" s="9" t="str">
        <f>'Binary File'!B304</f>
        <v>DEFAULT_RESERVED_BRAKE</v>
      </c>
      <c r="C297" t="str">
        <f>'Binary File'!C304</f>
        <v>3FCB4</v>
      </c>
    </row>
    <row r="298" spans="2:3" ht="14.1" customHeight="1" x14ac:dyDescent="0.25">
      <c r="B298" s="9" t="str">
        <f>'Binary File'!B305</f>
        <v>DEFAULT_RESERVED_BRAKE</v>
      </c>
      <c r="C298" t="str">
        <f>'Binary File'!C305</f>
        <v>3FCB8</v>
      </c>
    </row>
    <row r="299" spans="2:3" ht="14.1" customHeight="1" x14ac:dyDescent="0.25">
      <c r="B299" s="9" t="str">
        <f>'Binary File'!B306</f>
        <v>DEFAULT_RESERVED_BRAKE</v>
      </c>
      <c r="C299" t="str">
        <f>'Binary File'!C306</f>
        <v>3FCBC</v>
      </c>
    </row>
    <row r="300" spans="2:3" ht="14.1" customHeight="1" x14ac:dyDescent="0.25">
      <c r="B300" s="9" t="str">
        <f>'Binary File'!B307</f>
        <v>DEFAULT_RESERVED_BRAKE</v>
      </c>
      <c r="C300" t="str">
        <f>'Binary File'!C307</f>
        <v>3FCC0</v>
      </c>
    </row>
    <row r="301" spans="2:3" ht="14.1" customHeight="1" x14ac:dyDescent="0.25">
      <c r="B301" s="9" t="str">
        <f>'Binary File'!B308</f>
        <v>DEFAULT_RESERVED_BRAKE</v>
      </c>
      <c r="C301" t="str">
        <f>'Binary File'!C308</f>
        <v>3FCC4</v>
      </c>
    </row>
    <row r="302" spans="2:3" ht="14.1" customHeight="1" x14ac:dyDescent="0.25">
      <c r="B302" s="9" t="str">
        <f>'Binary File'!B309</f>
        <v>DEFAULT_RESERVED_BRAKE</v>
      </c>
      <c r="C302" t="str">
        <f>'Binary File'!C309</f>
        <v>3FCC8</v>
      </c>
    </row>
    <row r="303" spans="2:3" ht="14.1" customHeight="1" x14ac:dyDescent="0.25">
      <c r="B303" s="9" t="str">
        <f>'Binary File'!B310</f>
        <v>DEFAULT_RESERVED_BRAKE</v>
      </c>
      <c r="C303" t="str">
        <f>'Binary File'!C310</f>
        <v>3FCCC</v>
      </c>
    </row>
    <row r="304" spans="2:3" ht="14.1" customHeight="1" x14ac:dyDescent="0.25">
      <c r="B304" s="9" t="str">
        <f>'Binary File'!B311</f>
        <v>DEFAULT_RESERVED_BRAKE</v>
      </c>
      <c r="C304" t="str">
        <f>'Binary File'!C311</f>
        <v>3FCD0</v>
      </c>
    </row>
    <row r="305" spans="2:3" ht="14.1" customHeight="1" x14ac:dyDescent="0.25">
      <c r="B305" s="9" t="str">
        <f>'Binary File'!B312</f>
        <v>DEFAULT_RESERVED_BRAKE</v>
      </c>
      <c r="C305" t="str">
        <f>'Binary File'!C312</f>
        <v>3FCD4</v>
      </c>
    </row>
    <row r="306" spans="2:3" ht="14.1" customHeight="1" x14ac:dyDescent="0.25">
      <c r="B306" s="9" t="str">
        <f>'Binary File'!B313</f>
        <v>DEFAULT_RESERVED_BRAKE</v>
      </c>
      <c r="C306" t="str">
        <f>'Binary File'!C313</f>
        <v>3FCD8</v>
      </c>
    </row>
    <row r="307" spans="2:3" ht="14.1" customHeight="1" x14ac:dyDescent="0.25">
      <c r="B307" s="9" t="str">
        <f>'Binary File'!B314</f>
        <v>DEFAULT_RESERVED_BRAKE</v>
      </c>
      <c r="C307" t="str">
        <f>'Binary File'!C314</f>
        <v>3FCDC</v>
      </c>
    </row>
    <row r="308" spans="2:3" ht="14.1" customHeight="1" x14ac:dyDescent="0.25">
      <c r="B308" s="9" t="str">
        <f>'Binary File'!B315</f>
        <v>DEFAULT_RESERVED_BRAKE</v>
      </c>
      <c r="C308" t="str">
        <f>'Binary File'!C315</f>
        <v>3FCE0</v>
      </c>
    </row>
    <row r="309" spans="2:3" ht="14.1" customHeight="1" x14ac:dyDescent="0.25">
      <c r="B309" s="9" t="str">
        <f>'Binary File'!B316</f>
        <v>DEFAULT_RESERVED_BRAKE</v>
      </c>
      <c r="C309" t="str">
        <f>'Binary File'!C316</f>
        <v>3FCE4</v>
      </c>
    </row>
    <row r="310" spans="2:3" ht="14.1" customHeight="1" x14ac:dyDescent="0.25">
      <c r="B310" s="9" t="str">
        <f>'Binary File'!B317</f>
        <v>DEFAULT_RESERVED_BRAKE</v>
      </c>
      <c r="C310" t="str">
        <f>'Binary File'!C317</f>
        <v>3FCE8</v>
      </c>
    </row>
    <row r="311" spans="2:3" ht="14.1" customHeight="1" x14ac:dyDescent="0.25">
      <c r="B311" s="9" t="str">
        <f>'Binary File'!B318</f>
        <v>DEFAULT_RESERVED_BRAKE</v>
      </c>
      <c r="C311" t="str">
        <f>'Binary File'!C318</f>
        <v>3FCEC</v>
      </c>
    </row>
    <row r="312" spans="2:3" ht="14.1" customHeight="1" x14ac:dyDescent="0.25">
      <c r="B312" s="9" t="str">
        <f>'Binary File'!B319</f>
        <v>DEFAULT_RESERVED_BRAKE</v>
      </c>
      <c r="C312" t="str">
        <f>'Binary File'!C319</f>
        <v>3FCF0</v>
      </c>
    </row>
    <row r="313" spans="2:3" ht="14.1" customHeight="1" x14ac:dyDescent="0.25">
      <c r="B313" s="9" t="str">
        <f>'Binary File'!B320</f>
        <v>DEFAULT_RESERVED_BRAKE</v>
      </c>
      <c r="C313" t="str">
        <f>'Binary File'!C320</f>
        <v>3FCF4</v>
      </c>
    </row>
    <row r="314" spans="2:3" ht="14.1" customHeight="1" x14ac:dyDescent="0.25">
      <c r="B314" s="9" t="str">
        <f>'Binary File'!B321</f>
        <v>DEFAULT_RESERVED_BRAKE</v>
      </c>
      <c r="C314" t="str">
        <f>'Binary File'!C321</f>
        <v>3FCF8</v>
      </c>
    </row>
    <row r="315" spans="2:3" ht="14.1" customHeight="1" x14ac:dyDescent="0.25">
      <c r="B315" s="9" t="str">
        <f>'Binary File'!B322</f>
        <v>DEFAULT_RESERVED_BRAKE</v>
      </c>
      <c r="C315" t="str">
        <f>'Binary File'!C322</f>
        <v>3FCFC</v>
      </c>
    </row>
    <row r="316" spans="2:3" ht="14.1" customHeight="1" x14ac:dyDescent="0.25">
      <c r="B316" s="9" t="str">
        <f>'Binary File'!B323</f>
        <v>DEFAULT_RESERVED_BRAKE</v>
      </c>
      <c r="C316" t="str">
        <f>'Binary File'!C323</f>
        <v>3FD00</v>
      </c>
    </row>
    <row r="317" spans="2:3" ht="14.1" customHeight="1" x14ac:dyDescent="0.25">
      <c r="B317" s="9" t="str">
        <f>'Binary File'!B324</f>
        <v>DEFAULT_RESERVED_BRAKE</v>
      </c>
      <c r="C317" t="str">
        <f>'Binary File'!C324</f>
        <v>3FD04</v>
      </c>
    </row>
    <row r="318" spans="2:3" ht="14.1" customHeight="1" x14ac:dyDescent="0.25">
      <c r="B318" s="9" t="str">
        <f>'Binary File'!B325</f>
        <v>DEFAULT_RESERVED_BRAKE</v>
      </c>
      <c r="C318" t="str">
        <f>'Binary File'!C325</f>
        <v>3FD08</v>
      </c>
    </row>
    <row r="319" spans="2:3" ht="14.1" customHeight="1" x14ac:dyDescent="0.25">
      <c r="B319" s="9" t="str">
        <f>'Binary File'!B326</f>
        <v>DEFAULT_RESERVED_BRAKE</v>
      </c>
      <c r="C319" t="str">
        <f>'Binary File'!C326</f>
        <v>3FD0C</v>
      </c>
    </row>
    <row r="320" spans="2:3" ht="14.1" customHeight="1" x14ac:dyDescent="0.25">
      <c r="B320" s="9" t="str">
        <f>'Binary File'!B327</f>
        <v>DEFAULT_RESERVED_BRAKE</v>
      </c>
      <c r="C320" t="str">
        <f>'Binary File'!C327</f>
        <v>3FD10</v>
      </c>
    </row>
    <row r="321" spans="2:3" ht="14.1" customHeight="1" x14ac:dyDescent="0.25">
      <c r="B321" s="9" t="str">
        <f>'Binary File'!B328</f>
        <v>DEFAULT_RESERVED_BRAKE</v>
      </c>
      <c r="C321" t="str">
        <f>'Binary File'!C328</f>
        <v>3FD14</v>
      </c>
    </row>
    <row r="322" spans="2:3" ht="14.1" customHeight="1" x14ac:dyDescent="0.25">
      <c r="B322" s="9" t="str">
        <f>'Binary File'!B329</f>
        <v>DEFAULT_RESERVED_BRAKE</v>
      </c>
      <c r="C322" t="str">
        <f>'Binary File'!C329</f>
        <v>3FD18</v>
      </c>
    </row>
    <row r="323" spans="2:3" ht="14.1" customHeight="1" x14ac:dyDescent="0.25">
      <c r="B323" s="9" t="str">
        <f>'Binary File'!B330</f>
        <v>DEFAULT_RESERVED_BRAKE</v>
      </c>
      <c r="C323" t="str">
        <f>'Binary File'!C330</f>
        <v>3FD1C</v>
      </c>
    </row>
  </sheetData>
  <pageMargins left="0.7" right="0.7" top="0.75" bottom="0.75" header="0.3" footer="0.3"/>
  <pageSetup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1:U335"/>
  <sheetViews>
    <sheetView zoomScale="85" zoomScaleNormal="85" workbookViewId="0">
      <selection activeCell="T30" sqref="T30"/>
    </sheetView>
  </sheetViews>
  <sheetFormatPr defaultRowHeight="15" x14ac:dyDescent="0.25"/>
  <cols>
    <col min="2" max="2" width="70.28515625" customWidth="1"/>
    <col min="3" max="3" width="8.85546875" style="2" customWidth="1"/>
    <col min="4" max="4" width="12" style="10" customWidth="1"/>
    <col min="5" max="5" width="12" style="12" customWidth="1"/>
    <col min="6" max="6" width="6.140625" style="10" customWidth="1"/>
    <col min="7" max="7" width="7.28515625" style="2" customWidth="1"/>
    <col min="8" max="8" width="9.28515625" style="2" customWidth="1"/>
    <col min="9" max="9" width="6.7109375" style="11" customWidth="1"/>
    <col min="10" max="12" width="4.7109375" style="2" customWidth="1"/>
    <col min="13" max="13" width="4.7109375" style="11" customWidth="1"/>
    <col min="14" max="14" width="4.42578125" style="2" customWidth="1"/>
    <col min="15" max="16" width="4.7109375" style="2" customWidth="1"/>
    <col min="17" max="17" width="4.7109375" style="11" customWidth="1"/>
    <col min="18" max="18" width="13.5703125" style="2" customWidth="1"/>
    <col min="19" max="19" width="17.7109375" customWidth="1"/>
    <col min="21" max="21" width="20.42578125" customWidth="1"/>
  </cols>
  <sheetData>
    <row r="1" spans="1:21" x14ac:dyDescent="0.25">
      <c r="D1" s="10" t="s">
        <v>92</v>
      </c>
      <c r="E1" s="20" t="s">
        <v>92</v>
      </c>
      <c r="F1" s="26" t="s">
        <v>109</v>
      </c>
      <c r="G1" s="27"/>
      <c r="H1" s="27"/>
      <c r="I1" s="28" t="s">
        <v>110</v>
      </c>
      <c r="J1" s="26" t="s">
        <v>109</v>
      </c>
      <c r="K1" s="27"/>
      <c r="L1" s="27"/>
      <c r="M1" s="28" t="s">
        <v>110</v>
      </c>
      <c r="N1" s="26" t="s">
        <v>109</v>
      </c>
      <c r="O1" s="27"/>
      <c r="P1" s="27"/>
      <c r="Q1" s="28" t="s">
        <v>110</v>
      </c>
    </row>
    <row r="2" spans="1:21" ht="15.75" thickBot="1" x14ac:dyDescent="0.3">
      <c r="A2" s="14"/>
      <c r="B2" s="14"/>
      <c r="C2" s="16"/>
      <c r="D2" s="15"/>
      <c r="E2" s="24" t="s">
        <v>108</v>
      </c>
      <c r="F2" s="142" t="s">
        <v>111</v>
      </c>
      <c r="G2" s="143"/>
      <c r="H2" s="143"/>
      <c r="I2" s="144"/>
      <c r="J2" s="142" t="s">
        <v>112</v>
      </c>
      <c r="K2" s="143"/>
      <c r="L2" s="143"/>
      <c r="M2" s="144"/>
      <c r="N2" s="142" t="s">
        <v>113</v>
      </c>
      <c r="O2" s="143"/>
      <c r="P2" s="143"/>
      <c r="Q2" s="144"/>
      <c r="R2" s="116"/>
    </row>
    <row r="3" spans="1:21" ht="15.75" customHeight="1" x14ac:dyDescent="0.25">
      <c r="A3" s="3"/>
      <c r="B3" s="57" t="str">
        <f>'Configured Model'!C2</f>
        <v xml:space="preserve"> DEFAULT_ParameterSetRevisionNumber
</v>
      </c>
      <c r="C3" s="4" t="str">
        <f>'Configured Model'!B2</f>
        <v>3F800</v>
      </c>
      <c r="D3" s="37">
        <f>'Configured Model'!D2</f>
        <v>6</v>
      </c>
      <c r="E3" s="38" t="s">
        <v>114</v>
      </c>
      <c r="F3" s="39" t="s">
        <v>114</v>
      </c>
      <c r="G3" s="40" t="s">
        <v>114</v>
      </c>
      <c r="H3" s="40" t="s">
        <v>114</v>
      </c>
      <c r="I3" s="41" t="s">
        <v>114</v>
      </c>
      <c r="J3" s="39" t="str">
        <f t="shared" ref="J3:J10" si="0">MID($D3,1,1)</f>
        <v>6</v>
      </c>
      <c r="K3" s="40" t="str">
        <f t="shared" ref="K3:K10" si="1">MID($D3,2,1)</f>
        <v/>
      </c>
      <c r="L3" s="40" t="str">
        <f t="shared" ref="L3:L10" si="2">MID($D3,3,1)</f>
        <v/>
      </c>
      <c r="M3" s="41" t="str">
        <f t="shared" ref="M3:M10" si="3">MID($D3,4,1)</f>
        <v/>
      </c>
      <c r="N3" s="39" t="str">
        <f t="shared" ref="N3:N10" si="4">MID($D3,1,1)</f>
        <v>6</v>
      </c>
      <c r="O3" s="40" t="str">
        <f t="shared" ref="O3:O10" si="5">MID($D3,2,1)</f>
        <v/>
      </c>
      <c r="P3" s="40" t="str">
        <f t="shared" ref="P3:P10" si="6">MID($D3,3,1)</f>
        <v/>
      </c>
      <c r="Q3" s="41" t="str">
        <f t="shared" ref="Q3:Q10" si="7">MID($D3,4,1)</f>
        <v/>
      </c>
      <c r="R3" s="2" t="str">
        <f>_xlfn.CONCAT(N3,O3,P3,Q3)</f>
        <v>6</v>
      </c>
      <c r="U3" t="s">
        <v>166</v>
      </c>
    </row>
    <row r="4" spans="1:21" x14ac:dyDescent="0.25">
      <c r="A4" s="47"/>
      <c r="B4" s="54" t="str">
        <f>'Configured Model'!C3</f>
        <v xml:space="preserve"> DEFAULT_ConfiguredModellNumber1</v>
      </c>
      <c r="C4" s="50" t="str">
        <f>'Configured Model'!B3</f>
        <v>3F804</v>
      </c>
      <c r="D4" s="112" t="str">
        <f>'Configured Model'!D3</f>
        <v>EC04</v>
      </c>
      <c r="E4" s="33" t="s">
        <v>114</v>
      </c>
      <c r="F4" s="34" t="s">
        <v>114</v>
      </c>
      <c r="G4" s="35" t="s">
        <v>114</v>
      </c>
      <c r="H4" s="35" t="s">
        <v>114</v>
      </c>
      <c r="I4" s="36" t="s">
        <v>114</v>
      </c>
      <c r="J4" s="73" t="str">
        <f t="shared" si="0"/>
        <v>E</v>
      </c>
      <c r="K4" s="59" t="str">
        <f t="shared" si="1"/>
        <v>C</v>
      </c>
      <c r="L4" s="59" t="str">
        <f t="shared" si="2"/>
        <v>0</v>
      </c>
      <c r="M4" s="74" t="str">
        <f t="shared" si="3"/>
        <v>4</v>
      </c>
      <c r="N4" s="73" t="str">
        <f t="shared" si="4"/>
        <v>E</v>
      </c>
      <c r="O4" s="59" t="str">
        <f t="shared" si="5"/>
        <v>C</v>
      </c>
      <c r="P4" s="59" t="str">
        <f t="shared" si="6"/>
        <v>0</v>
      </c>
      <c r="Q4" s="74" t="str">
        <f t="shared" si="7"/>
        <v>4</v>
      </c>
      <c r="R4" s="64" t="str">
        <f>_xlfn.CONCAT(N4,O4,P4,Q4)</f>
        <v>EC04</v>
      </c>
    </row>
    <row r="5" spans="1:21" x14ac:dyDescent="0.25">
      <c r="A5" s="48"/>
      <c r="B5" s="57" t="str">
        <f>'Configured Model'!C4</f>
        <v xml:space="preserve"> DEFAULT_ConfiguredModellNumber2</v>
      </c>
      <c r="C5" s="4" t="str">
        <f>'Configured Model'!B4</f>
        <v>3F808</v>
      </c>
      <c r="D5" s="113" t="str">
        <f>'Configured Model'!D4</f>
        <v>2B-1</v>
      </c>
      <c r="E5" s="38" t="s">
        <v>114</v>
      </c>
      <c r="F5" s="39" t="s">
        <v>114</v>
      </c>
      <c r="G5" s="40" t="s">
        <v>114</v>
      </c>
      <c r="H5" s="40" t="s">
        <v>114</v>
      </c>
      <c r="I5" s="41" t="s">
        <v>114</v>
      </c>
      <c r="J5" s="39" t="str">
        <f t="shared" si="0"/>
        <v>2</v>
      </c>
      <c r="K5" s="40" t="str">
        <f t="shared" si="1"/>
        <v>B</v>
      </c>
      <c r="L5" s="40" t="str">
        <f t="shared" si="2"/>
        <v>-</v>
      </c>
      <c r="M5" s="41" t="str">
        <f t="shared" si="3"/>
        <v>1</v>
      </c>
      <c r="N5" s="39" t="str">
        <f t="shared" si="4"/>
        <v>2</v>
      </c>
      <c r="O5" s="40" t="str">
        <f t="shared" si="5"/>
        <v>B</v>
      </c>
      <c r="P5" s="40" t="str">
        <f t="shared" si="6"/>
        <v>-</v>
      </c>
      <c r="Q5" s="41" t="str">
        <f t="shared" si="7"/>
        <v>1</v>
      </c>
      <c r="R5" s="2" t="str">
        <f t="shared" ref="R5:R17" si="8">_xlfn.CONCAT(N5,O5,P5,Q5)</f>
        <v>2B-1</v>
      </c>
    </row>
    <row r="6" spans="1:21" x14ac:dyDescent="0.25">
      <c r="A6" s="47"/>
      <c r="B6" s="54" t="str">
        <f>'Configured Model'!C5</f>
        <v xml:space="preserve"> DEFAULT_ConfiguredModellNumber3</v>
      </c>
      <c r="C6" s="50" t="str">
        <f>'Configured Model'!B5</f>
        <v>3F80C</v>
      </c>
      <c r="D6" s="112" t="str">
        <f>'Configured Model'!D5</f>
        <v>0MP-</v>
      </c>
      <c r="E6" s="33" t="s">
        <v>114</v>
      </c>
      <c r="F6" s="34" t="s">
        <v>114</v>
      </c>
      <c r="G6" s="35" t="s">
        <v>114</v>
      </c>
      <c r="H6" s="35" t="s">
        <v>114</v>
      </c>
      <c r="I6" s="36" t="s">
        <v>114</v>
      </c>
      <c r="J6" s="73" t="str">
        <f t="shared" si="0"/>
        <v>0</v>
      </c>
      <c r="K6" s="59" t="str">
        <f t="shared" si="1"/>
        <v>M</v>
      </c>
      <c r="L6" s="59" t="str">
        <f t="shared" si="2"/>
        <v>P</v>
      </c>
      <c r="M6" s="74" t="str">
        <f t="shared" si="3"/>
        <v>-</v>
      </c>
      <c r="N6" s="73" t="str">
        <f t="shared" si="4"/>
        <v>0</v>
      </c>
      <c r="O6" s="59" t="str">
        <f t="shared" si="5"/>
        <v>M</v>
      </c>
      <c r="P6" s="59" t="str">
        <f t="shared" si="6"/>
        <v>P</v>
      </c>
      <c r="Q6" s="74" t="str">
        <f t="shared" si="7"/>
        <v>-</v>
      </c>
      <c r="R6" s="64" t="str">
        <f t="shared" si="8"/>
        <v>0MP-</v>
      </c>
    </row>
    <row r="7" spans="1:21" x14ac:dyDescent="0.25">
      <c r="A7" s="48"/>
      <c r="B7" s="57" t="str">
        <f>'Configured Model'!C6</f>
        <v xml:space="preserve"> DEFAULT_ConfiguredModellNumber4</v>
      </c>
      <c r="C7" s="4" t="str">
        <f>'Configured Model'!B6</f>
        <v>3F810</v>
      </c>
      <c r="D7" s="113" t="str">
        <f>'Configured Model'!D6</f>
        <v>935-</v>
      </c>
      <c r="E7" s="38" t="s">
        <v>114</v>
      </c>
      <c r="F7" s="39" t="s">
        <v>114</v>
      </c>
      <c r="G7" s="40" t="s">
        <v>114</v>
      </c>
      <c r="H7" s="40" t="s">
        <v>114</v>
      </c>
      <c r="I7" s="41" t="s">
        <v>114</v>
      </c>
      <c r="J7" s="39" t="str">
        <f t="shared" si="0"/>
        <v>9</v>
      </c>
      <c r="K7" s="40" t="str">
        <f t="shared" si="1"/>
        <v>3</v>
      </c>
      <c r="L7" s="40" t="str">
        <f t="shared" si="2"/>
        <v>5</v>
      </c>
      <c r="M7" s="41" t="str">
        <f t="shared" si="3"/>
        <v>-</v>
      </c>
      <c r="N7" s="39" t="str">
        <f t="shared" si="4"/>
        <v>9</v>
      </c>
      <c r="O7" s="40" t="str">
        <f t="shared" si="5"/>
        <v>3</v>
      </c>
      <c r="P7" s="40" t="str">
        <f t="shared" si="6"/>
        <v>5</v>
      </c>
      <c r="Q7" s="41" t="str">
        <f t="shared" si="7"/>
        <v>-</v>
      </c>
      <c r="R7" s="2" t="str">
        <f t="shared" si="8"/>
        <v>935-</v>
      </c>
    </row>
    <row r="8" spans="1:21" x14ac:dyDescent="0.25">
      <c r="A8" s="47"/>
      <c r="B8" s="54" t="str">
        <f>'Configured Model'!C7</f>
        <v xml:space="preserve"> DEFAULT_ConfiguredModellNumber5</v>
      </c>
      <c r="C8" s="50" t="str">
        <f>'Configured Model'!B7</f>
        <v>3F814</v>
      </c>
      <c r="D8" s="112" t="str">
        <f>'Configured Model'!D7</f>
        <v>REVD</v>
      </c>
      <c r="E8" s="33" t="s">
        <v>114</v>
      </c>
      <c r="F8" s="34" t="s">
        <v>114</v>
      </c>
      <c r="G8" s="35" t="s">
        <v>114</v>
      </c>
      <c r="H8" s="35" t="s">
        <v>114</v>
      </c>
      <c r="I8" s="36" t="s">
        <v>114</v>
      </c>
      <c r="J8" s="73" t="str">
        <f t="shared" si="0"/>
        <v>R</v>
      </c>
      <c r="K8" s="59" t="str">
        <f t="shared" si="1"/>
        <v>E</v>
      </c>
      <c r="L8" s="59" t="str">
        <f t="shared" si="2"/>
        <v>V</v>
      </c>
      <c r="M8" s="74" t="str">
        <f t="shared" si="3"/>
        <v>D</v>
      </c>
      <c r="N8" s="73" t="str">
        <f t="shared" si="4"/>
        <v>R</v>
      </c>
      <c r="O8" s="59" t="str">
        <f t="shared" si="5"/>
        <v>E</v>
      </c>
      <c r="P8" s="59" t="str">
        <f t="shared" si="6"/>
        <v>V</v>
      </c>
      <c r="Q8" s="74" t="str">
        <f t="shared" si="7"/>
        <v>D</v>
      </c>
      <c r="R8" s="64" t="str">
        <f t="shared" si="8"/>
        <v>REVD</v>
      </c>
    </row>
    <row r="9" spans="1:21" x14ac:dyDescent="0.25">
      <c r="A9" s="48"/>
      <c r="B9" s="57" t="str">
        <f>'Configured Model'!C8</f>
        <v xml:space="preserve"> DEFAULT_ConfiguredModellNumber6</v>
      </c>
      <c r="C9" s="4" t="str">
        <f>'Configured Model'!B8</f>
        <v>3F818</v>
      </c>
      <c r="D9" s="113">
        <f>'Configured Model'!D8</f>
        <v>0</v>
      </c>
      <c r="E9" s="38" t="s">
        <v>114</v>
      </c>
      <c r="F9" s="39" t="s">
        <v>114</v>
      </c>
      <c r="G9" s="40" t="s">
        <v>114</v>
      </c>
      <c r="H9" s="40" t="s">
        <v>114</v>
      </c>
      <c r="I9" s="41" t="s">
        <v>114</v>
      </c>
      <c r="J9" s="39" t="str">
        <f t="shared" si="0"/>
        <v>0</v>
      </c>
      <c r="K9" s="40" t="str">
        <f t="shared" si="1"/>
        <v/>
      </c>
      <c r="L9" s="40" t="str">
        <f t="shared" si="2"/>
        <v/>
      </c>
      <c r="M9" s="41" t="str">
        <f t="shared" si="3"/>
        <v/>
      </c>
      <c r="N9" s="39" t="str">
        <f t="shared" si="4"/>
        <v>0</v>
      </c>
      <c r="O9" s="40" t="str">
        <f t="shared" si="5"/>
        <v/>
      </c>
      <c r="P9" s="40" t="str">
        <f t="shared" si="6"/>
        <v/>
      </c>
      <c r="Q9" s="41" t="str">
        <f t="shared" si="7"/>
        <v/>
      </c>
      <c r="R9" s="2" t="str">
        <f t="shared" si="8"/>
        <v>0</v>
      </c>
    </row>
    <row r="10" spans="1:21" x14ac:dyDescent="0.25">
      <c r="A10" s="47"/>
      <c r="B10" s="54" t="str">
        <f>'Configured Model'!C9</f>
        <v xml:space="preserve"> DEFAULT_ConfiguredModellNumber7</v>
      </c>
      <c r="C10" s="50" t="str">
        <f>'Configured Model'!B9</f>
        <v>3F81C</v>
      </c>
      <c r="D10" s="112">
        <f>'Configured Model'!D9</f>
        <v>0</v>
      </c>
      <c r="E10" s="33" t="s">
        <v>114</v>
      </c>
      <c r="F10" s="34" t="s">
        <v>114</v>
      </c>
      <c r="G10" s="35" t="s">
        <v>114</v>
      </c>
      <c r="H10" s="35" t="s">
        <v>114</v>
      </c>
      <c r="I10" s="36" t="s">
        <v>114</v>
      </c>
      <c r="J10" s="73" t="str">
        <f t="shared" si="0"/>
        <v>0</v>
      </c>
      <c r="K10" s="59" t="str">
        <f t="shared" si="1"/>
        <v/>
      </c>
      <c r="L10" s="59" t="str">
        <f t="shared" si="2"/>
        <v/>
      </c>
      <c r="M10" s="74" t="str">
        <f t="shared" si="3"/>
        <v/>
      </c>
      <c r="N10" s="73" t="str">
        <f t="shared" si="4"/>
        <v>0</v>
      </c>
      <c r="O10" s="59" t="str">
        <f t="shared" si="5"/>
        <v/>
      </c>
      <c r="P10" s="59" t="str">
        <f t="shared" si="6"/>
        <v/>
      </c>
      <c r="Q10" s="74" t="str">
        <f t="shared" si="7"/>
        <v/>
      </c>
      <c r="R10" s="64" t="str">
        <f t="shared" si="8"/>
        <v>0</v>
      </c>
    </row>
    <row r="11" spans="1:21" x14ac:dyDescent="0.25">
      <c r="A11" s="48"/>
      <c r="B11" s="55" t="str">
        <f>'Configured Model'!C10</f>
        <v>DEFAULT_RESERVED_MODEL</v>
      </c>
      <c r="C11" s="51" t="str">
        <f>'Configured Model'!B10</f>
        <v>3F820</v>
      </c>
      <c r="D11" s="23">
        <f>'Configured Model'!D10</f>
        <v>4294967295</v>
      </c>
      <c r="E11" s="21" t="str">
        <f>IF(D11&gt;=0,DEC2HEX(D11),DEC2HEX(D11+ 2^32))</f>
        <v>FFFFFFFF</v>
      </c>
      <c r="F11" s="31">
        <f>IF(D11 &gt;= 0,TRUNC(D11/(2^24)),TRUNC((D11 + 2^32)/(2^24)))</f>
        <v>255</v>
      </c>
      <c r="G11" s="18">
        <f>IF(D11&gt;=0,TRUNC((D11-(F11*2^24))/(2^16)),TRUNC(((D11+2^32)-(F11*2^24))/(2^16)))</f>
        <v>255</v>
      </c>
      <c r="H11" s="18">
        <f>IF(D11&gt;=0,TRUNC((D11-((F11*2^24)+(G11*2^16)))/2^8),TRUNC(((D11 + 2^32)-((F11*2^24)+(G11*2^16)))/2^8))</f>
        <v>255</v>
      </c>
      <c r="I11" s="32">
        <f>IF(D11&gt;=0,TRUNC((D11-((F11*2^24)+(G11*2^16)+(H11*2^8)))),TRUNC(((D11+2^32)-((F11*2^24)+(G11*2^16)+(H11*2^8)))))</f>
        <v>255</v>
      </c>
      <c r="J11" s="31" t="str">
        <f>DEC2HEX(F11)</f>
        <v>FF</v>
      </c>
      <c r="K11" s="18" t="str">
        <f>DEC2HEX(G11)</f>
        <v>FF</v>
      </c>
      <c r="L11" s="18" t="str">
        <f>DEC2HEX(H11)</f>
        <v>FF</v>
      </c>
      <c r="M11" s="32" t="str">
        <f>DEC2HEX(I11)</f>
        <v>FF</v>
      </c>
      <c r="N11" s="23" t="str">
        <f>IF(F11&lt;&gt;0,CHAR(F11),"")</f>
        <v>ÿ</v>
      </c>
      <c r="O11" s="18" t="str">
        <f>IF(G11&lt;&gt;0,CHAR(G11),"")</f>
        <v>ÿ</v>
      </c>
      <c r="P11" s="18" t="str">
        <f>IF(H11&lt;&gt;0,CHAR(H11),"")</f>
        <v>ÿ</v>
      </c>
      <c r="Q11" s="65" t="str">
        <f>IF(I11&lt;&gt;0,CHAR(I11),"")</f>
        <v>ÿ</v>
      </c>
      <c r="R11" s="2" t="str">
        <f t="shared" si="8"/>
        <v>ÿÿÿÿ</v>
      </c>
    </row>
    <row r="12" spans="1:21" x14ac:dyDescent="0.25">
      <c r="A12" s="47"/>
      <c r="B12" s="56" t="str">
        <f>'Configured Model'!C11</f>
        <v>DEFAULT_RESERVED_MODEL</v>
      </c>
      <c r="C12" s="52" t="str">
        <f>'Configured Model'!B11</f>
        <v>3F824</v>
      </c>
      <c r="D12" s="22">
        <f>'Configured Model'!D11</f>
        <v>4294967295</v>
      </c>
      <c r="E12" s="25" t="str">
        <f t="shared" ref="E12:E17" si="9">IF(D12&gt;=0,DEC2HEX(D12),DEC2HEX(D12+ 2^32))</f>
        <v>FFFFFFFF</v>
      </c>
      <c r="F12" s="29">
        <f t="shared" ref="F12:F17" si="10">IF(D12 &gt;= 0,TRUNC(D12/(2^24)),TRUNC((D12 + 2^32)/(2^24)))</f>
        <v>255</v>
      </c>
      <c r="G12" s="19">
        <f t="shared" ref="G12:G17" si="11">IF(D12&gt;=0,TRUNC((D12-(F12*2^24))/(2^16)),TRUNC(((D12+2^32)-(F12*2^24))/(2^16)))</f>
        <v>255</v>
      </c>
      <c r="H12" s="19">
        <f t="shared" ref="H12:H17" si="12">IF(D12&gt;=0,TRUNC((D12-((F12*2^24)+(G12*2^16)))/2^8),TRUNC(((D12 + 2^32)-((F12*2^24)+(G12*2^16)))/2^8))</f>
        <v>255</v>
      </c>
      <c r="I12" s="30">
        <f t="shared" ref="I12:I17" si="13">IF(D12&gt;=0,TRUNC((D12-((F12*2^24)+(G12*2^16)+(H12*2^8)))),TRUNC(((D12+2^32)-((F12*2^24)+(G12*2^16)+(H12*2^8)))))</f>
        <v>255</v>
      </c>
      <c r="J12" s="29" t="str">
        <f t="shared" ref="J12:J17" si="14">DEC2HEX(F12)</f>
        <v>FF</v>
      </c>
      <c r="K12" s="19" t="str">
        <f t="shared" ref="K12:K17" si="15">DEC2HEX(G12)</f>
        <v>FF</v>
      </c>
      <c r="L12" s="19" t="str">
        <f t="shared" ref="L12:L17" si="16">DEC2HEX(H12)</f>
        <v>FF</v>
      </c>
      <c r="M12" s="30" t="str">
        <f t="shared" ref="M12:M17" si="17">DEC2HEX(I12)</f>
        <v>FF</v>
      </c>
      <c r="N12" s="22" t="str">
        <f t="shared" ref="N12:N17" si="18">IF(F12&lt;&gt;0,CHAR(F12),"")</f>
        <v>ÿ</v>
      </c>
      <c r="O12" s="19" t="str">
        <f t="shared" ref="O12:O17" si="19">IF(G12&lt;&gt;0,CHAR(G12),"")</f>
        <v>ÿ</v>
      </c>
      <c r="P12" s="19" t="str">
        <f t="shared" ref="P12:P17" si="20">IF(H12&lt;&gt;0,CHAR(H12),"")</f>
        <v>ÿ</v>
      </c>
      <c r="Q12" s="61" t="str">
        <f t="shared" ref="Q12:Q17" si="21">IF(I12&lt;&gt;0,CHAR(I12),"")</f>
        <v>ÿ</v>
      </c>
      <c r="R12" s="64" t="str">
        <f t="shared" si="8"/>
        <v>ÿÿÿÿ</v>
      </c>
    </row>
    <row r="13" spans="1:21" x14ac:dyDescent="0.25">
      <c r="A13" s="48"/>
      <c r="B13" s="55" t="str">
        <f>'Configured Model'!C12</f>
        <v>DEFAULT_RESERVED_MODEL</v>
      </c>
      <c r="C13" s="51" t="str">
        <f>'Configured Model'!B12</f>
        <v>3F828</v>
      </c>
      <c r="D13" s="23">
        <f>'Configured Model'!D12</f>
        <v>4294967295</v>
      </c>
      <c r="E13" s="21" t="str">
        <f t="shared" si="9"/>
        <v>FFFFFFFF</v>
      </c>
      <c r="F13" s="31">
        <f t="shared" si="10"/>
        <v>255</v>
      </c>
      <c r="G13" s="18">
        <f t="shared" si="11"/>
        <v>255</v>
      </c>
      <c r="H13" s="18">
        <f t="shared" si="12"/>
        <v>255</v>
      </c>
      <c r="I13" s="32">
        <f t="shared" si="13"/>
        <v>255</v>
      </c>
      <c r="J13" s="31" t="str">
        <f t="shared" si="14"/>
        <v>FF</v>
      </c>
      <c r="K13" s="18" t="str">
        <f t="shared" si="15"/>
        <v>FF</v>
      </c>
      <c r="L13" s="18" t="str">
        <f t="shared" si="16"/>
        <v>FF</v>
      </c>
      <c r="M13" s="32" t="str">
        <f t="shared" si="17"/>
        <v>FF</v>
      </c>
      <c r="N13" s="23" t="str">
        <f t="shared" si="18"/>
        <v>ÿ</v>
      </c>
      <c r="O13" s="18" t="str">
        <f t="shared" si="19"/>
        <v>ÿ</v>
      </c>
      <c r="P13" s="18" t="str">
        <f t="shared" si="20"/>
        <v>ÿ</v>
      </c>
      <c r="Q13" s="65" t="str">
        <f t="shared" si="21"/>
        <v>ÿ</v>
      </c>
      <c r="R13" s="2" t="str">
        <f t="shared" si="8"/>
        <v>ÿÿÿÿ</v>
      </c>
    </row>
    <row r="14" spans="1:21" x14ac:dyDescent="0.25">
      <c r="A14" s="47"/>
      <c r="B14" s="75" t="str">
        <f>'Configured Model'!C13</f>
        <v>DEFAULT_RESERVED_MODEL</v>
      </c>
      <c r="C14" s="76" t="str">
        <f>'Configured Model'!B13</f>
        <v>3F82C</v>
      </c>
      <c r="D14" s="77">
        <f>'Configured Model'!D13</f>
        <v>4294967295</v>
      </c>
      <c r="E14" s="78" t="str">
        <f t="shared" si="9"/>
        <v>FFFFFFFF</v>
      </c>
      <c r="F14" s="79">
        <f t="shared" si="10"/>
        <v>255</v>
      </c>
      <c r="G14" s="60">
        <f t="shared" si="11"/>
        <v>255</v>
      </c>
      <c r="H14" s="60">
        <f t="shared" si="12"/>
        <v>255</v>
      </c>
      <c r="I14" s="80">
        <f t="shared" si="13"/>
        <v>255</v>
      </c>
      <c r="J14" s="79" t="str">
        <f t="shared" si="14"/>
        <v>FF</v>
      </c>
      <c r="K14" s="60" t="str">
        <f t="shared" si="15"/>
        <v>FF</v>
      </c>
      <c r="L14" s="60" t="str">
        <f t="shared" si="16"/>
        <v>FF</v>
      </c>
      <c r="M14" s="80" t="str">
        <f t="shared" si="17"/>
        <v>FF</v>
      </c>
      <c r="N14" s="77" t="str">
        <f t="shared" si="18"/>
        <v>ÿ</v>
      </c>
      <c r="O14" s="60" t="str">
        <f t="shared" si="19"/>
        <v>ÿ</v>
      </c>
      <c r="P14" s="60" t="str">
        <f t="shared" si="20"/>
        <v>ÿ</v>
      </c>
      <c r="Q14" s="81" t="str">
        <f t="shared" si="21"/>
        <v>ÿ</v>
      </c>
      <c r="R14" s="64" t="str">
        <f t="shared" si="8"/>
        <v>ÿÿÿÿ</v>
      </c>
    </row>
    <row r="15" spans="1:21" x14ac:dyDescent="0.25">
      <c r="A15" s="48"/>
      <c r="B15" s="55" t="str">
        <f>'Configured Model'!C14</f>
        <v>DEFAULT_RESERVED_MODEL</v>
      </c>
      <c r="C15" s="51" t="str">
        <f>'Configured Model'!B14</f>
        <v>3F830</v>
      </c>
      <c r="D15" s="23">
        <f>'Configured Model'!D14</f>
        <v>4294967295</v>
      </c>
      <c r="E15" s="21" t="str">
        <f t="shared" si="9"/>
        <v>FFFFFFFF</v>
      </c>
      <c r="F15" s="31">
        <f t="shared" si="10"/>
        <v>255</v>
      </c>
      <c r="G15" s="18">
        <f t="shared" si="11"/>
        <v>255</v>
      </c>
      <c r="H15" s="18">
        <f t="shared" si="12"/>
        <v>255</v>
      </c>
      <c r="I15" s="32">
        <f t="shared" si="13"/>
        <v>255</v>
      </c>
      <c r="J15" s="31" t="str">
        <f t="shared" si="14"/>
        <v>FF</v>
      </c>
      <c r="K15" s="18" t="str">
        <f t="shared" si="15"/>
        <v>FF</v>
      </c>
      <c r="L15" s="18" t="str">
        <f t="shared" si="16"/>
        <v>FF</v>
      </c>
      <c r="M15" s="32" t="str">
        <f t="shared" si="17"/>
        <v>FF</v>
      </c>
      <c r="N15" s="23" t="str">
        <f t="shared" si="18"/>
        <v>ÿ</v>
      </c>
      <c r="O15" s="18" t="str">
        <f t="shared" si="19"/>
        <v>ÿ</v>
      </c>
      <c r="P15" s="18" t="str">
        <f t="shared" si="20"/>
        <v>ÿ</v>
      </c>
      <c r="Q15" s="65" t="str">
        <f t="shared" si="21"/>
        <v>ÿ</v>
      </c>
      <c r="R15" s="2" t="str">
        <f t="shared" si="8"/>
        <v>ÿÿÿÿ</v>
      </c>
    </row>
    <row r="16" spans="1:21" x14ac:dyDescent="0.25">
      <c r="A16" s="47"/>
      <c r="B16" s="75" t="str">
        <f>'Configured Model'!C15</f>
        <v>DEFAULT_RESERVED_MODEL</v>
      </c>
      <c r="C16" s="76" t="str">
        <f>'Configured Model'!B15</f>
        <v>3F834</v>
      </c>
      <c r="D16" s="77">
        <f>'Configured Model'!D15</f>
        <v>4294967295</v>
      </c>
      <c r="E16" s="78" t="str">
        <f t="shared" si="9"/>
        <v>FFFFFFFF</v>
      </c>
      <c r="F16" s="79">
        <f t="shared" si="10"/>
        <v>255</v>
      </c>
      <c r="G16" s="60">
        <f t="shared" si="11"/>
        <v>255</v>
      </c>
      <c r="H16" s="60">
        <f t="shared" si="12"/>
        <v>255</v>
      </c>
      <c r="I16" s="80">
        <f t="shared" si="13"/>
        <v>255</v>
      </c>
      <c r="J16" s="79" t="str">
        <f t="shared" si="14"/>
        <v>FF</v>
      </c>
      <c r="K16" s="60" t="str">
        <f t="shared" si="15"/>
        <v>FF</v>
      </c>
      <c r="L16" s="60" t="str">
        <f t="shared" si="16"/>
        <v>FF</v>
      </c>
      <c r="M16" s="80" t="str">
        <f t="shared" si="17"/>
        <v>FF</v>
      </c>
      <c r="N16" s="77" t="str">
        <f t="shared" si="18"/>
        <v>ÿ</v>
      </c>
      <c r="O16" s="60" t="str">
        <f t="shared" si="19"/>
        <v>ÿ</v>
      </c>
      <c r="P16" s="60" t="str">
        <f t="shared" si="20"/>
        <v>ÿ</v>
      </c>
      <c r="Q16" s="81" t="str">
        <f t="shared" si="21"/>
        <v>ÿ</v>
      </c>
      <c r="R16" s="64" t="str">
        <f t="shared" si="8"/>
        <v>ÿÿÿÿ</v>
      </c>
    </row>
    <row r="17" spans="1:19" x14ac:dyDescent="0.25">
      <c r="A17" s="48"/>
      <c r="B17" s="55" t="str">
        <f>'Configured Model'!C16</f>
        <v>DEFAULT_RESERVED_MODEL</v>
      </c>
      <c r="C17" s="51" t="str">
        <f>'Configured Model'!B16</f>
        <v>3F838</v>
      </c>
      <c r="D17" s="23">
        <f>'Configured Model'!D16</f>
        <v>4294967295</v>
      </c>
      <c r="E17" s="21" t="str">
        <f t="shared" si="9"/>
        <v>FFFFFFFF</v>
      </c>
      <c r="F17" s="31">
        <f t="shared" si="10"/>
        <v>255</v>
      </c>
      <c r="G17" s="18">
        <f t="shared" si="11"/>
        <v>255</v>
      </c>
      <c r="H17" s="18">
        <f t="shared" si="12"/>
        <v>255</v>
      </c>
      <c r="I17" s="32">
        <f t="shared" si="13"/>
        <v>255</v>
      </c>
      <c r="J17" s="31" t="str">
        <f t="shared" si="14"/>
        <v>FF</v>
      </c>
      <c r="K17" s="18" t="str">
        <f t="shared" si="15"/>
        <v>FF</v>
      </c>
      <c r="L17" s="18" t="str">
        <f t="shared" si="16"/>
        <v>FF</v>
      </c>
      <c r="M17" s="32" t="str">
        <f t="shared" si="17"/>
        <v>FF</v>
      </c>
      <c r="N17" s="23" t="str">
        <f t="shared" si="18"/>
        <v>ÿ</v>
      </c>
      <c r="O17" s="18" t="str">
        <f t="shared" si="19"/>
        <v>ÿ</v>
      </c>
      <c r="P17" s="18" t="str">
        <f t="shared" si="20"/>
        <v>ÿ</v>
      </c>
      <c r="Q17" s="65" t="str">
        <f t="shared" si="21"/>
        <v>ÿ</v>
      </c>
      <c r="R17" s="2" t="str">
        <f t="shared" si="8"/>
        <v>ÿÿÿÿ</v>
      </c>
    </row>
    <row r="18" spans="1:19" ht="15.75" thickBot="1" x14ac:dyDescent="0.3">
      <c r="A18" s="67"/>
      <c r="B18" s="82" t="str">
        <f>'Configured Model'!C17</f>
        <v>DEFAULT_RESERVED_MODEL</v>
      </c>
      <c r="C18" s="83" t="str">
        <f>'Configured Model'!B17</f>
        <v>3F83C</v>
      </c>
      <c r="D18" s="84">
        <f>'Configured Model'!D17</f>
        <v>4294967295</v>
      </c>
      <c r="E18" s="85" t="str">
        <f>IF(D18&gt;=0,DEC2HEX(D18),DEC2HEX(D18+ 2^32))</f>
        <v>FFFFFFFF</v>
      </c>
      <c r="F18" s="86">
        <f>IF(D18 &gt;= 0,TRUNC(D18/(2^24)),TRUNC((D18 + 2^32)/(2^24)))</f>
        <v>255</v>
      </c>
      <c r="G18" s="87">
        <f>IF(D18&gt;=0,TRUNC((D18-(F18*2^24))/(2^16)),TRUNC(((D18+2^32)-(F18*2^24))/(2^16)))</f>
        <v>255</v>
      </c>
      <c r="H18" s="87">
        <f>IF(D18&gt;=0,TRUNC((D18-((F18*2^24)+(G18*2^16)))/2^8),TRUNC(((D18 + 2^32)-((F18*2^24)+(G18*2^16)))/2^8))</f>
        <v>255</v>
      </c>
      <c r="I18" s="88">
        <f>IF(D18&gt;=0,TRUNC((D18-((F18*2^24)+(G18*2^16)+(H18*2^8)))),TRUNC(((D18+2^32)-((F18*2^24)+(G18*2^16)+(H18*2^8)))))</f>
        <v>255</v>
      </c>
      <c r="J18" s="86" t="str">
        <f>DEC2HEX(F18)</f>
        <v>FF</v>
      </c>
      <c r="K18" s="87" t="str">
        <f>DEC2HEX(G18)</f>
        <v>FF</v>
      </c>
      <c r="L18" s="87" t="str">
        <f>DEC2HEX(H18)</f>
        <v>FF</v>
      </c>
      <c r="M18" s="88" t="str">
        <f>DEC2HEX(I18)</f>
        <v>FF</v>
      </c>
      <c r="N18" s="84" t="str">
        <f>IF(F18&lt;&gt;0,CHAR(F18),"")</f>
        <v>ÿ</v>
      </c>
      <c r="O18" s="87" t="str">
        <f>IF(G18&lt;&gt;0,CHAR(G18),"")</f>
        <v>ÿ</v>
      </c>
      <c r="P18" s="87" t="str">
        <f>IF(H18&lt;&gt;0,CHAR(H18),"")</f>
        <v>ÿ</v>
      </c>
      <c r="Q18" s="89" t="str">
        <f>IF(I18&lt;&gt;0,CHAR(I18),"")</f>
        <v>ÿ</v>
      </c>
      <c r="R18" s="117" t="str">
        <f>_xlfn.CONCAT(N18,O18,P18,Q18)</f>
        <v>ÿÿÿÿ</v>
      </c>
    </row>
    <row r="19" spans="1:19" ht="14.25" customHeight="1" x14ac:dyDescent="0.25">
      <c r="A19" s="3"/>
      <c r="B19" s="57" t="str">
        <f>Drive!C2</f>
        <v xml:space="preserve"> DEFAULT_DriveModelNumber1
</v>
      </c>
      <c r="C19" s="4" t="str">
        <f>Drive!B2</f>
        <v>3F840</v>
      </c>
      <c r="D19" s="113" t="str">
        <f>Drive!D2</f>
        <v>PBL7</v>
      </c>
      <c r="E19" s="38" t="s">
        <v>114</v>
      </c>
      <c r="F19" s="39" t="s">
        <v>114</v>
      </c>
      <c r="G19" s="40" t="s">
        <v>114</v>
      </c>
      <c r="H19" s="40" t="s">
        <v>114</v>
      </c>
      <c r="I19" s="41" t="s">
        <v>114</v>
      </c>
      <c r="J19" s="39" t="str">
        <f>MID($D19,1,1)</f>
        <v>P</v>
      </c>
      <c r="K19" s="40" t="str">
        <f>MID($D19,2,1)</f>
        <v>B</v>
      </c>
      <c r="L19" s="40" t="str">
        <f>MID($D19,3,1)</f>
        <v>L</v>
      </c>
      <c r="M19" s="41" t="str">
        <f>MID($D19,4,1)</f>
        <v>7</v>
      </c>
      <c r="N19" s="39" t="str">
        <f>MID($D19,1,1)</f>
        <v>P</v>
      </c>
      <c r="O19" s="40" t="str">
        <f>MID($D19,2,1)</f>
        <v>B</v>
      </c>
      <c r="P19" s="40" t="str">
        <f>MID($D19,3,1)</f>
        <v>L</v>
      </c>
      <c r="Q19" s="41" t="str">
        <f>MID($D19,4,1)</f>
        <v>7</v>
      </c>
      <c r="R19" s="2" t="str">
        <f t="shared" ref="R19:R84" si="22">_xlfn.CONCAT(N19,O19,P19,Q19)</f>
        <v>PBL7</v>
      </c>
    </row>
    <row r="20" spans="1:19" ht="13.9" customHeight="1" x14ac:dyDescent="0.25">
      <c r="A20" s="47"/>
      <c r="B20" s="57" t="str">
        <f>Drive!C3</f>
        <v xml:space="preserve"> DEFAULT_DriveModelNumber2</v>
      </c>
      <c r="C20" s="4" t="str">
        <f>Drive!B3</f>
        <v>3F844</v>
      </c>
      <c r="D20" s="113" t="str">
        <f>Drive!D3</f>
        <v>090E</v>
      </c>
      <c r="E20" s="33" t="s">
        <v>114</v>
      </c>
      <c r="F20" s="34" t="s">
        <v>114</v>
      </c>
      <c r="G20" s="35" t="s">
        <v>114</v>
      </c>
      <c r="H20" s="35" t="s">
        <v>114</v>
      </c>
      <c r="I20" s="36" t="s">
        <v>114</v>
      </c>
      <c r="J20" s="73" t="str">
        <f>MID($D20,1,1)</f>
        <v>0</v>
      </c>
      <c r="K20" s="59" t="str">
        <f>MID($D20,2,1)</f>
        <v>9</v>
      </c>
      <c r="L20" s="59" t="str">
        <f>MID($D20,3,1)</f>
        <v>0</v>
      </c>
      <c r="M20" s="74" t="str">
        <f>MID($D20,4,1)</f>
        <v>E</v>
      </c>
      <c r="N20" s="73" t="str">
        <f>MID($D20,1,1)</f>
        <v>0</v>
      </c>
      <c r="O20" s="59" t="str">
        <f>MID($D20,2,1)</f>
        <v>9</v>
      </c>
      <c r="P20" s="59" t="str">
        <f>MID($D20,3,1)</f>
        <v>0</v>
      </c>
      <c r="Q20" s="74" t="str">
        <f>MID($D20,4,1)</f>
        <v>E</v>
      </c>
      <c r="R20" s="64" t="str">
        <f>_xlfn.CONCAT(N20,O20,P20,Q20)</f>
        <v>090E</v>
      </c>
    </row>
    <row r="21" spans="1:19" ht="13.9" customHeight="1" x14ac:dyDescent="0.25">
      <c r="A21" s="48"/>
      <c r="B21" s="57" t="str">
        <f>Drive!C4</f>
        <v xml:space="preserve"> DEFAULT_DriveModelNumber3</v>
      </c>
      <c r="C21" s="4" t="str">
        <f>Drive!B4</f>
        <v>3F848</v>
      </c>
      <c r="D21" s="113" t="str">
        <f>Drive!D4</f>
        <v>REVA</v>
      </c>
      <c r="E21" s="21" t="s">
        <v>114</v>
      </c>
      <c r="F21" s="31" t="s">
        <v>114</v>
      </c>
      <c r="G21" s="18" t="s">
        <v>114</v>
      </c>
      <c r="H21" s="18" t="s">
        <v>114</v>
      </c>
      <c r="I21" s="32" t="s">
        <v>114</v>
      </c>
      <c r="J21" s="39" t="str">
        <f>MID($D21,1,1)</f>
        <v>R</v>
      </c>
      <c r="K21" s="40" t="str">
        <f>MID($D21,2,1)</f>
        <v>E</v>
      </c>
      <c r="L21" s="40" t="str">
        <f>MID($D21,3,1)</f>
        <v>V</v>
      </c>
      <c r="M21" s="41" t="str">
        <f>MID($D21,4,1)</f>
        <v>A</v>
      </c>
      <c r="N21" s="39" t="str">
        <f>MID($D21,1,1)</f>
        <v>R</v>
      </c>
      <c r="O21" s="40" t="str">
        <f>MID($D21,2,1)</f>
        <v>E</v>
      </c>
      <c r="P21" s="40" t="str">
        <f>MID($D21,3,1)</f>
        <v>V</v>
      </c>
      <c r="Q21" s="41" t="str">
        <f>MID($D21,4,1)</f>
        <v>A</v>
      </c>
      <c r="R21" s="2" t="str">
        <f t="shared" si="22"/>
        <v>REVA</v>
      </c>
    </row>
    <row r="22" spans="1:19" ht="13.9" customHeight="1" x14ac:dyDescent="0.25">
      <c r="A22" s="47"/>
      <c r="B22" s="57" t="str">
        <f>Drive!C5</f>
        <v xml:space="preserve"> DEFAULT_DriveMaxPhases</v>
      </c>
      <c r="C22" s="4" t="str">
        <f>Drive!B5</f>
        <v>3F84C</v>
      </c>
      <c r="D22" s="113">
        <f>Drive!D5</f>
        <v>4</v>
      </c>
      <c r="E22" s="25" t="str">
        <f t="shared" ref="E22:E35" si="23">IF(D22&gt;=0,DEC2HEX(D22),DEC2HEX(D22+ 2^32))</f>
        <v>4</v>
      </c>
      <c r="F22" s="29">
        <f t="shared" ref="F22:F71" si="24">IF(D22 &gt;= 0,TRUNC(D22/(2^24)),TRUNC((D22 + 2^32)/(2^24)))</f>
        <v>0</v>
      </c>
      <c r="G22" s="19">
        <f t="shared" ref="G22:G71" si="25">IF(D22&gt;=0,TRUNC((D22-(F22*2^24))/(2^16)),TRUNC(((D22+2^32)-(F22*2^24))/(2^16)))</f>
        <v>0</v>
      </c>
      <c r="H22" s="19">
        <f t="shared" ref="H22:H71" si="26">IF(D22&gt;=0,TRUNC((D22-((F22*2^24)+(G22*2^16)))/2^8),TRUNC(((D22 + 2^32)-((F22*2^24)+(G22*2^16)))/2^8))</f>
        <v>0</v>
      </c>
      <c r="I22" s="30">
        <f t="shared" ref="I22:I71" si="27">IF(D22&gt;=0,TRUNC((D22-((F22*2^24)+(G22*2^16)+(H22*2^8)))),TRUNC(((D22+2^32)-((F22*2^24)+(G22*2^16)+(H22*2^8)))))</f>
        <v>4</v>
      </c>
      <c r="J22" s="29" t="str">
        <f t="shared" ref="J22:J71" si="28">DEC2HEX(F22)</f>
        <v>0</v>
      </c>
      <c r="K22" s="19" t="str">
        <f t="shared" ref="K22:K71" si="29">DEC2HEX(G22)</f>
        <v>0</v>
      </c>
      <c r="L22" s="19" t="str">
        <f t="shared" ref="L22:L71" si="30">DEC2HEX(H22)</f>
        <v>0</v>
      </c>
      <c r="M22" s="30" t="str">
        <f t="shared" ref="M22:M71" si="31">DEC2HEX(I22)</f>
        <v>4</v>
      </c>
      <c r="N22" s="22" t="str">
        <f t="shared" ref="N22:Q25" si="32">IF(F22&lt;&gt;0,CHAR(F22),"")</f>
        <v/>
      </c>
      <c r="O22" s="19" t="str">
        <f t="shared" si="32"/>
        <v/>
      </c>
      <c r="P22" s="19" t="str">
        <f t="shared" si="32"/>
        <v/>
      </c>
      <c r="Q22" s="61" t="str">
        <f t="shared" si="32"/>
        <v>_x0004_</v>
      </c>
      <c r="R22" s="64" t="str">
        <f t="shared" si="22"/>
        <v>_x0004_</v>
      </c>
      <c r="S22" s="13"/>
    </row>
    <row r="23" spans="1:19" ht="13.9" customHeight="1" x14ac:dyDescent="0.25">
      <c r="A23" s="48"/>
      <c r="B23" s="57" t="str">
        <f>Drive!C6</f>
        <v xml:space="preserve"> DEFAULT_DriveRatedMaxVolt</v>
      </c>
      <c r="C23" s="4" t="str">
        <f>Drive!B6</f>
        <v>3F850</v>
      </c>
      <c r="D23" s="113">
        <f>Drive!D6</f>
        <v>70</v>
      </c>
      <c r="E23" s="21" t="str">
        <f t="shared" si="23"/>
        <v>46</v>
      </c>
      <c r="F23" s="31">
        <f t="shared" si="24"/>
        <v>0</v>
      </c>
      <c r="G23" s="18">
        <f t="shared" si="25"/>
        <v>0</v>
      </c>
      <c r="H23" s="18">
        <f t="shared" si="26"/>
        <v>0</v>
      </c>
      <c r="I23" s="32">
        <f t="shared" si="27"/>
        <v>70</v>
      </c>
      <c r="J23" s="31" t="str">
        <f t="shared" si="28"/>
        <v>0</v>
      </c>
      <c r="K23" s="18" t="str">
        <f t="shared" si="29"/>
        <v>0</v>
      </c>
      <c r="L23" s="18" t="str">
        <f t="shared" si="30"/>
        <v>0</v>
      </c>
      <c r="M23" s="32" t="str">
        <f t="shared" si="31"/>
        <v>46</v>
      </c>
      <c r="N23" s="23" t="str">
        <f t="shared" si="32"/>
        <v/>
      </c>
      <c r="O23" s="18" t="str">
        <f t="shared" si="32"/>
        <v/>
      </c>
      <c r="P23" s="18" t="str">
        <f t="shared" si="32"/>
        <v/>
      </c>
      <c r="Q23" s="65" t="str">
        <f t="shared" si="32"/>
        <v>F</v>
      </c>
      <c r="R23" s="2" t="str">
        <f t="shared" si="22"/>
        <v>F</v>
      </c>
    </row>
    <row r="24" spans="1:19" ht="13.9" customHeight="1" x14ac:dyDescent="0.25">
      <c r="A24" s="47"/>
      <c r="B24" s="57" t="str">
        <f>Drive!C7</f>
        <v xml:space="preserve"> DEFAULT_DriveRatedMaxPeakCurrentmA</v>
      </c>
      <c r="C24" s="4" t="str">
        <f>Drive!B7</f>
        <v>3F854</v>
      </c>
      <c r="D24" s="113">
        <f>Drive!D7</f>
        <v>10000</v>
      </c>
      <c r="E24" s="25" t="str">
        <f t="shared" si="23"/>
        <v>2710</v>
      </c>
      <c r="F24" s="29">
        <f t="shared" si="24"/>
        <v>0</v>
      </c>
      <c r="G24" s="19">
        <f t="shared" si="25"/>
        <v>0</v>
      </c>
      <c r="H24" s="19">
        <f t="shared" si="26"/>
        <v>39</v>
      </c>
      <c r="I24" s="30">
        <f t="shared" si="27"/>
        <v>16</v>
      </c>
      <c r="J24" s="29" t="str">
        <f t="shared" si="28"/>
        <v>0</v>
      </c>
      <c r="K24" s="19" t="str">
        <f t="shared" si="29"/>
        <v>0</v>
      </c>
      <c r="L24" s="19" t="str">
        <f t="shared" si="30"/>
        <v>27</v>
      </c>
      <c r="M24" s="30" t="str">
        <f t="shared" si="31"/>
        <v>10</v>
      </c>
      <c r="N24" s="22" t="str">
        <f t="shared" si="32"/>
        <v/>
      </c>
      <c r="O24" s="19" t="str">
        <f t="shared" si="32"/>
        <v/>
      </c>
      <c r="P24" s="19" t="str">
        <f t="shared" si="32"/>
        <v>'</v>
      </c>
      <c r="Q24" s="61" t="str">
        <f t="shared" si="32"/>
        <v>_x0010_</v>
      </c>
      <c r="R24" s="64" t="str">
        <f t="shared" si="22"/>
        <v>'_x0010_</v>
      </c>
    </row>
    <row r="25" spans="1:19" ht="13.9" customHeight="1" x14ac:dyDescent="0.25">
      <c r="A25" s="48"/>
      <c r="B25" s="57" t="str">
        <f>Drive!C8</f>
        <v xml:space="preserve"> DEFAULT_DriveRatedMaxContCurrentmA</v>
      </c>
      <c r="C25" s="4" t="str">
        <f>Drive!B8</f>
        <v>3F858</v>
      </c>
      <c r="D25" s="113">
        <f>Drive!D8</f>
        <v>7000</v>
      </c>
      <c r="E25" s="21" t="str">
        <f t="shared" si="23"/>
        <v>1B58</v>
      </c>
      <c r="F25" s="31">
        <f t="shared" si="24"/>
        <v>0</v>
      </c>
      <c r="G25" s="18">
        <f t="shared" si="25"/>
        <v>0</v>
      </c>
      <c r="H25" s="18">
        <f t="shared" si="26"/>
        <v>27</v>
      </c>
      <c r="I25" s="32">
        <f t="shared" si="27"/>
        <v>88</v>
      </c>
      <c r="J25" s="31" t="str">
        <f t="shared" si="28"/>
        <v>0</v>
      </c>
      <c r="K25" s="18" t="str">
        <f t="shared" si="29"/>
        <v>0</v>
      </c>
      <c r="L25" s="18" t="str">
        <f t="shared" si="30"/>
        <v>1B</v>
      </c>
      <c r="M25" s="32" t="str">
        <f t="shared" si="31"/>
        <v>58</v>
      </c>
      <c r="N25" s="23" t="str">
        <f t="shared" si="32"/>
        <v/>
      </c>
      <c r="O25" s="18" t="str">
        <f t="shared" si="32"/>
        <v/>
      </c>
      <c r="P25" s="18" t="str">
        <f t="shared" si="32"/>
        <v>_x001B_</v>
      </c>
      <c r="Q25" s="65" t="str">
        <f t="shared" si="32"/>
        <v>X</v>
      </c>
      <c r="R25" s="2" t="str">
        <f t="shared" si="22"/>
        <v>_x001B_X</v>
      </c>
    </row>
    <row r="26" spans="1:19" ht="13.9" customHeight="1" x14ac:dyDescent="0.25">
      <c r="A26" s="47"/>
      <c r="B26" s="57" t="str">
        <f>Drive!C9</f>
        <v xml:space="preserve"> DEFAULT_SSI</v>
      </c>
      <c r="C26" s="4" t="str">
        <f>Drive!B9</f>
        <v>3F85C</v>
      </c>
      <c r="D26" s="113">
        <f>Drive!D9</f>
        <v>0</v>
      </c>
      <c r="E26" s="25" t="str">
        <f t="shared" si="23"/>
        <v>0</v>
      </c>
      <c r="F26" s="29">
        <f t="shared" si="24"/>
        <v>0</v>
      </c>
      <c r="G26" s="19">
        <f t="shared" si="25"/>
        <v>0</v>
      </c>
      <c r="H26" s="19">
        <f t="shared" si="26"/>
        <v>0</v>
      </c>
      <c r="I26" s="30">
        <f t="shared" si="27"/>
        <v>0</v>
      </c>
      <c r="J26" s="29" t="str">
        <f t="shared" si="28"/>
        <v>0</v>
      </c>
      <c r="K26" s="19" t="str">
        <f t="shared" si="29"/>
        <v>0</v>
      </c>
      <c r="L26" s="19" t="str">
        <f t="shared" si="30"/>
        <v>0</v>
      </c>
      <c r="M26" s="30" t="str">
        <f t="shared" si="31"/>
        <v>0</v>
      </c>
      <c r="N26" s="22" t="str">
        <f t="shared" ref="N26:N86" si="33">IF(F26&lt;&gt;0,CHAR(F26),"")</f>
        <v/>
      </c>
      <c r="O26" s="19" t="str">
        <f t="shared" ref="O26:O85" si="34">IF(G26&lt;&gt;0,CHAR(G26),"")</f>
        <v/>
      </c>
      <c r="P26" s="19" t="str">
        <f t="shared" ref="P26:P85" si="35">IF(H26&lt;&gt;0,CHAR(H26),"")</f>
        <v/>
      </c>
      <c r="Q26" s="61" t="str">
        <f t="shared" ref="Q26:Q85" si="36">IF(I26&lt;&gt;0,CHAR(I26),"")</f>
        <v/>
      </c>
      <c r="R26" s="64" t="str">
        <f t="shared" si="22"/>
        <v/>
      </c>
    </row>
    <row r="27" spans="1:19" ht="13.9" customHeight="1" x14ac:dyDescent="0.25">
      <c r="A27" s="48"/>
      <c r="B27" s="57" t="str">
        <f>Drive!C10</f>
        <v>DEFAULT_MotorConfigurationType</v>
      </c>
      <c r="C27" s="4" t="str">
        <f>Drive!B10</f>
        <v>3F860</v>
      </c>
      <c r="D27" s="113">
        <f>Drive!D10</f>
        <v>3</v>
      </c>
      <c r="E27" s="21" t="str">
        <f t="shared" si="23"/>
        <v>3</v>
      </c>
      <c r="F27" s="31">
        <f t="shared" si="24"/>
        <v>0</v>
      </c>
      <c r="G27" s="18">
        <f t="shared" si="25"/>
        <v>0</v>
      </c>
      <c r="H27" s="18">
        <f t="shared" si="26"/>
        <v>0</v>
      </c>
      <c r="I27" s="32">
        <f t="shared" si="27"/>
        <v>3</v>
      </c>
      <c r="J27" s="31" t="str">
        <f t="shared" si="28"/>
        <v>0</v>
      </c>
      <c r="K27" s="18" t="str">
        <f t="shared" si="29"/>
        <v>0</v>
      </c>
      <c r="L27" s="18" t="str">
        <f t="shared" si="30"/>
        <v>0</v>
      </c>
      <c r="M27" s="32" t="str">
        <f t="shared" si="31"/>
        <v>3</v>
      </c>
      <c r="N27" s="23" t="str">
        <f t="shared" si="33"/>
        <v/>
      </c>
      <c r="O27" s="18" t="str">
        <f t="shared" si="34"/>
        <v/>
      </c>
      <c r="P27" s="18" t="str">
        <f t="shared" si="35"/>
        <v/>
      </c>
      <c r="Q27" s="65" t="str">
        <f t="shared" si="36"/>
        <v>_x0003_</v>
      </c>
      <c r="R27" s="2" t="str">
        <f t="shared" si="22"/>
        <v>_x0003_</v>
      </c>
    </row>
    <row r="28" spans="1:19" ht="13.9" customHeight="1" x14ac:dyDescent="0.25">
      <c r="A28" s="47"/>
      <c r="B28" s="57" t="str">
        <f>Drive!C11</f>
        <v>DEFAULT_isINLCalibrationActive</v>
      </c>
      <c r="C28" s="4" t="str">
        <f>Drive!B11</f>
        <v>3F864</v>
      </c>
      <c r="D28" s="113">
        <f>Drive!D11</f>
        <v>0</v>
      </c>
      <c r="E28" s="25" t="str">
        <f t="shared" si="23"/>
        <v>0</v>
      </c>
      <c r="F28" s="29">
        <f t="shared" si="24"/>
        <v>0</v>
      </c>
      <c r="G28" s="19">
        <f t="shared" si="25"/>
        <v>0</v>
      </c>
      <c r="H28" s="19">
        <f t="shared" si="26"/>
        <v>0</v>
      </c>
      <c r="I28" s="30">
        <f t="shared" si="27"/>
        <v>0</v>
      </c>
      <c r="J28" s="29" t="str">
        <f t="shared" si="28"/>
        <v>0</v>
      </c>
      <c r="K28" s="19" t="str">
        <f t="shared" si="29"/>
        <v>0</v>
      </c>
      <c r="L28" s="19" t="str">
        <f t="shared" si="30"/>
        <v>0</v>
      </c>
      <c r="M28" s="30" t="str">
        <f t="shared" si="31"/>
        <v>0</v>
      </c>
      <c r="N28" s="22" t="str">
        <f t="shared" si="33"/>
        <v/>
      </c>
      <c r="O28" s="19" t="str">
        <f t="shared" si="34"/>
        <v/>
      </c>
      <c r="P28" s="19" t="str">
        <f t="shared" si="35"/>
        <v/>
      </c>
      <c r="Q28" s="61" t="str">
        <f t="shared" si="36"/>
        <v/>
      </c>
      <c r="R28" s="64" t="str">
        <f t="shared" si="22"/>
        <v/>
      </c>
    </row>
    <row r="29" spans="1:19" ht="13.9" customHeight="1" x14ac:dyDescent="0.25">
      <c r="A29" s="48"/>
      <c r="B29" s="57" t="str">
        <f>Drive!C12</f>
        <v xml:space="preserve"> DEFAULT_enCommutationModeSelect</v>
      </c>
      <c r="C29" s="4" t="str">
        <f>Drive!B12</f>
        <v>3F868</v>
      </c>
      <c r="D29" s="113">
        <f>Drive!D12</f>
        <v>2</v>
      </c>
      <c r="E29" s="21" t="str">
        <f t="shared" si="23"/>
        <v>2</v>
      </c>
      <c r="F29" s="31">
        <f t="shared" si="24"/>
        <v>0</v>
      </c>
      <c r="G29" s="18">
        <f t="shared" si="25"/>
        <v>0</v>
      </c>
      <c r="H29" s="18">
        <f t="shared" si="26"/>
        <v>0</v>
      </c>
      <c r="I29" s="32">
        <f t="shared" si="27"/>
        <v>2</v>
      </c>
      <c r="J29" s="31" t="str">
        <f t="shared" si="28"/>
        <v>0</v>
      </c>
      <c r="K29" s="18" t="str">
        <f t="shared" si="29"/>
        <v>0</v>
      </c>
      <c r="L29" s="18" t="str">
        <f t="shared" si="30"/>
        <v>0</v>
      </c>
      <c r="M29" s="32" t="str">
        <f t="shared" si="31"/>
        <v>2</v>
      </c>
      <c r="N29" s="23" t="str">
        <f t="shared" si="33"/>
        <v/>
      </c>
      <c r="O29" s="18" t="str">
        <f t="shared" si="34"/>
        <v/>
      </c>
      <c r="P29" s="18" t="str">
        <f t="shared" si="35"/>
        <v/>
      </c>
      <c r="Q29" s="65" t="str">
        <f t="shared" si="36"/>
        <v>_x0002_</v>
      </c>
      <c r="R29" s="2" t="str">
        <f t="shared" si="22"/>
        <v>_x0002_</v>
      </c>
    </row>
    <row r="30" spans="1:19" ht="13.9" customHeight="1" x14ac:dyDescent="0.25">
      <c r="A30" s="47"/>
      <c r="B30" s="57" t="str">
        <f>Drive!C13</f>
        <v xml:space="preserve"> DEFAULT_enRegulationModeSelect</v>
      </c>
      <c r="C30" s="4" t="str">
        <f>Drive!B13</f>
        <v>3F86C</v>
      </c>
      <c r="D30" s="113">
        <f>Drive!D13</f>
        <v>1</v>
      </c>
      <c r="E30" s="25" t="str">
        <f t="shared" si="23"/>
        <v>1</v>
      </c>
      <c r="F30" s="29">
        <f>IF(D30 &gt;= 0,TRUNC(D30/(2^24)),TRUNC((D30 + 2^32)/(2^24)))</f>
        <v>0</v>
      </c>
      <c r="G30" s="19">
        <f>IF(D30&gt;=0,TRUNC((D30-(F30*2^24))/(2^16)),TRUNC(((D30+2^32)-(F30*2^24))/(2^16)))</f>
        <v>0</v>
      </c>
      <c r="H30" s="19">
        <f>IF(D30&gt;=0,TRUNC((D30-((F30*2^24)+(G30*2^16)))/2^8),TRUNC(((D30 + 2^32)-((F30*2^24)+(G30*2^16)))/2^8))</f>
        <v>0</v>
      </c>
      <c r="I30" s="30">
        <f>IF(D30&gt;=0,TRUNC((D30-((F30*2^24)+(G30*2^16)+(H30*2^8)))),TRUNC(((D30+2^32)-((F30*2^24)+(G30*2^16)+(H30*2^8)))))</f>
        <v>1</v>
      </c>
      <c r="J30" s="29" t="str">
        <f t="shared" si="28"/>
        <v>0</v>
      </c>
      <c r="K30" s="19" t="str">
        <f t="shared" si="29"/>
        <v>0</v>
      </c>
      <c r="L30" s="19" t="str">
        <f t="shared" si="30"/>
        <v>0</v>
      </c>
      <c r="M30" s="30" t="str">
        <f t="shared" si="31"/>
        <v>1</v>
      </c>
      <c r="N30" s="22" t="str">
        <f t="shared" si="33"/>
        <v/>
      </c>
      <c r="O30" s="19" t="str">
        <f t="shared" si="34"/>
        <v/>
      </c>
      <c r="P30" s="19" t="str">
        <f t="shared" si="35"/>
        <v/>
      </c>
      <c r="Q30" s="61" t="str">
        <f t="shared" si="36"/>
        <v>_x0001_</v>
      </c>
      <c r="R30" s="64" t="str">
        <f t="shared" si="22"/>
        <v>_x0001_</v>
      </c>
    </row>
    <row r="31" spans="1:19" ht="13.9" customHeight="1" x14ac:dyDescent="0.25">
      <c r="A31" s="48"/>
      <c r="B31" s="57" t="str">
        <f>Drive!C14</f>
        <v xml:space="preserve"> DEFAULT_InputReferenceSource</v>
      </c>
      <c r="C31" s="4" t="str">
        <f>Drive!B14</f>
        <v>3F870</v>
      </c>
      <c r="D31" s="113">
        <f>Drive!D14</f>
        <v>0</v>
      </c>
      <c r="E31" s="21" t="str">
        <f t="shared" si="23"/>
        <v>0</v>
      </c>
      <c r="F31" s="31">
        <f t="shared" si="24"/>
        <v>0</v>
      </c>
      <c r="G31" s="18">
        <f t="shared" si="25"/>
        <v>0</v>
      </c>
      <c r="H31" s="18">
        <f t="shared" si="26"/>
        <v>0</v>
      </c>
      <c r="I31" s="32">
        <f t="shared" si="27"/>
        <v>0</v>
      </c>
      <c r="J31" s="31" t="str">
        <f t="shared" si="28"/>
        <v>0</v>
      </c>
      <c r="K31" s="18" t="str">
        <f t="shared" si="29"/>
        <v>0</v>
      </c>
      <c r="L31" s="18" t="str">
        <f t="shared" si="30"/>
        <v>0</v>
      </c>
      <c r="M31" s="32" t="str">
        <f t="shared" si="31"/>
        <v>0</v>
      </c>
      <c r="N31" s="23" t="str">
        <f t="shared" si="33"/>
        <v/>
      </c>
      <c r="O31" s="18" t="str">
        <f t="shared" si="34"/>
        <v/>
      </c>
      <c r="P31" s="18" t="str">
        <f t="shared" si="35"/>
        <v/>
      </c>
      <c r="Q31" s="65" t="str">
        <f t="shared" si="36"/>
        <v/>
      </c>
      <c r="R31" s="2" t="str">
        <f t="shared" si="22"/>
        <v/>
      </c>
    </row>
    <row r="32" spans="1:19" ht="13.9" customHeight="1" x14ac:dyDescent="0.25">
      <c r="A32" s="47"/>
      <c r="B32" s="57" t="str">
        <f>Drive!C15</f>
        <v xml:space="preserve"> DEFAULT_enCurrentReferenceSelect</v>
      </c>
      <c r="C32" s="4" t="str">
        <f>Drive!B15</f>
        <v>3F874</v>
      </c>
      <c r="D32" s="113">
        <f>Drive!D15</f>
        <v>1</v>
      </c>
      <c r="E32" s="25" t="str">
        <f t="shared" si="23"/>
        <v>1</v>
      </c>
      <c r="F32" s="29">
        <f t="shared" si="24"/>
        <v>0</v>
      </c>
      <c r="G32" s="19">
        <f t="shared" si="25"/>
        <v>0</v>
      </c>
      <c r="H32" s="19">
        <f t="shared" si="26"/>
        <v>0</v>
      </c>
      <c r="I32" s="30">
        <f t="shared" si="27"/>
        <v>1</v>
      </c>
      <c r="J32" s="29" t="str">
        <f t="shared" si="28"/>
        <v>0</v>
      </c>
      <c r="K32" s="19" t="str">
        <f t="shared" si="29"/>
        <v>0</v>
      </c>
      <c r="L32" s="19" t="str">
        <f t="shared" si="30"/>
        <v>0</v>
      </c>
      <c r="M32" s="30" t="str">
        <f t="shared" si="31"/>
        <v>1</v>
      </c>
      <c r="N32" s="22" t="str">
        <f t="shared" si="33"/>
        <v/>
      </c>
      <c r="O32" s="19" t="str">
        <f t="shared" si="34"/>
        <v/>
      </c>
      <c r="P32" s="19" t="str">
        <f t="shared" si="35"/>
        <v/>
      </c>
      <c r="Q32" s="61" t="str">
        <f t="shared" si="36"/>
        <v>_x0001_</v>
      </c>
      <c r="R32" s="64" t="str">
        <f t="shared" si="22"/>
        <v>_x0001_</v>
      </c>
    </row>
    <row r="33" spans="1:18" ht="13.9" customHeight="1" x14ac:dyDescent="0.25">
      <c r="A33" s="48"/>
      <c r="B33" s="57" t="str">
        <f>Drive!C16</f>
        <v xml:space="preserve"> DEFAULT_enRotorVelocityReferenceSelect</v>
      </c>
      <c r="C33" s="4" t="str">
        <f>Drive!B16</f>
        <v>3F878</v>
      </c>
      <c r="D33" s="113">
        <f>Drive!D16</f>
        <v>1</v>
      </c>
      <c r="E33" s="21" t="str">
        <f t="shared" si="23"/>
        <v>1</v>
      </c>
      <c r="F33" s="31">
        <f t="shared" si="24"/>
        <v>0</v>
      </c>
      <c r="G33" s="18">
        <f t="shared" si="25"/>
        <v>0</v>
      </c>
      <c r="H33" s="18">
        <f t="shared" si="26"/>
        <v>0</v>
      </c>
      <c r="I33" s="32">
        <f t="shared" si="27"/>
        <v>1</v>
      </c>
      <c r="J33" s="31" t="str">
        <f t="shared" si="28"/>
        <v>0</v>
      </c>
      <c r="K33" s="18" t="str">
        <f t="shared" si="29"/>
        <v>0</v>
      </c>
      <c r="L33" s="18" t="str">
        <f t="shared" si="30"/>
        <v>0</v>
      </c>
      <c r="M33" s="32" t="str">
        <f t="shared" si="31"/>
        <v>1</v>
      </c>
      <c r="N33" s="23" t="str">
        <f t="shared" si="33"/>
        <v/>
      </c>
      <c r="O33" s="18" t="str">
        <f t="shared" si="34"/>
        <v/>
      </c>
      <c r="P33" s="18" t="str">
        <f t="shared" si="35"/>
        <v/>
      </c>
      <c r="Q33" s="65" t="str">
        <f t="shared" si="36"/>
        <v>_x0001_</v>
      </c>
      <c r="R33" s="2" t="str">
        <f t="shared" si="22"/>
        <v>_x0001_</v>
      </c>
    </row>
    <row r="34" spans="1:18" ht="13.9" customHeight="1" x14ac:dyDescent="0.25">
      <c r="A34" s="47"/>
      <c r="B34" s="57" t="str">
        <f>Drive!C17</f>
        <v xml:space="preserve"> DEFAULT_enRotorPositionReferenceSelect</v>
      </c>
      <c r="C34" s="4" t="str">
        <f>Drive!B17</f>
        <v>3F87C</v>
      </c>
      <c r="D34" s="113">
        <f>Drive!D17</f>
        <v>1</v>
      </c>
      <c r="E34" s="25" t="str">
        <f t="shared" si="23"/>
        <v>1</v>
      </c>
      <c r="F34" s="29">
        <f t="shared" si="24"/>
        <v>0</v>
      </c>
      <c r="G34" s="19">
        <f t="shared" si="25"/>
        <v>0</v>
      </c>
      <c r="H34" s="19">
        <f t="shared" si="26"/>
        <v>0</v>
      </c>
      <c r="I34" s="30">
        <f t="shared" si="27"/>
        <v>1</v>
      </c>
      <c r="J34" s="29" t="str">
        <f t="shared" si="28"/>
        <v>0</v>
      </c>
      <c r="K34" s="19" t="str">
        <f t="shared" si="29"/>
        <v>0</v>
      </c>
      <c r="L34" s="19" t="str">
        <f t="shared" si="30"/>
        <v>0</v>
      </c>
      <c r="M34" s="30" t="str">
        <f t="shared" si="31"/>
        <v>1</v>
      </c>
      <c r="N34" s="22" t="str">
        <f t="shared" si="33"/>
        <v/>
      </c>
      <c r="O34" s="19" t="str">
        <f t="shared" si="34"/>
        <v/>
      </c>
      <c r="P34" s="19" t="str">
        <f t="shared" si="35"/>
        <v/>
      </c>
      <c r="Q34" s="61" t="str">
        <f t="shared" si="36"/>
        <v>_x0001_</v>
      </c>
      <c r="R34" s="64" t="str">
        <f t="shared" si="22"/>
        <v>_x0001_</v>
      </c>
    </row>
    <row r="35" spans="1:18" ht="13.9" customHeight="1" x14ac:dyDescent="0.25">
      <c r="A35" s="48"/>
      <c r="B35" s="57" t="str">
        <f>Drive!C18</f>
        <v xml:space="preserve"> DEFAULT_enEnableSelect</v>
      </c>
      <c r="C35" s="4" t="str">
        <f>Drive!B18</f>
        <v>3F880</v>
      </c>
      <c r="D35" s="113">
        <f>Drive!D18</f>
        <v>1</v>
      </c>
      <c r="E35" s="21" t="str">
        <f t="shared" si="23"/>
        <v>1</v>
      </c>
      <c r="F35" s="31">
        <f t="shared" si="24"/>
        <v>0</v>
      </c>
      <c r="G35" s="18">
        <f t="shared" si="25"/>
        <v>0</v>
      </c>
      <c r="H35" s="18">
        <f t="shared" si="26"/>
        <v>0</v>
      </c>
      <c r="I35" s="32">
        <f t="shared" si="27"/>
        <v>1</v>
      </c>
      <c r="J35" s="31" t="str">
        <f t="shared" si="28"/>
        <v>0</v>
      </c>
      <c r="K35" s="18" t="str">
        <f t="shared" si="29"/>
        <v>0</v>
      </c>
      <c r="L35" s="18" t="str">
        <f t="shared" si="30"/>
        <v>0</v>
      </c>
      <c r="M35" s="32" t="str">
        <f t="shared" si="31"/>
        <v>1</v>
      </c>
      <c r="N35" s="23" t="str">
        <f t="shared" si="33"/>
        <v/>
      </c>
      <c r="O35" s="18" t="str">
        <f t="shared" si="34"/>
        <v/>
      </c>
      <c r="P35" s="18" t="str">
        <f t="shared" si="35"/>
        <v/>
      </c>
      <c r="Q35" s="65" t="str">
        <f t="shared" si="36"/>
        <v>_x0001_</v>
      </c>
      <c r="R35" s="2" t="str">
        <f t="shared" si="22"/>
        <v>_x0001_</v>
      </c>
    </row>
    <row r="36" spans="1:18" ht="13.9" customHeight="1" x14ac:dyDescent="0.25">
      <c r="A36" s="47"/>
      <c r="B36" s="57" t="str">
        <f>Drive!C19</f>
        <v xml:space="preserve"> DEFAULT_enRotorVelocityLimitSelect</v>
      </c>
      <c r="C36" s="4" t="str">
        <f>Drive!B19</f>
        <v>3F884</v>
      </c>
      <c r="D36" s="113">
        <f>Drive!D19</f>
        <v>1</v>
      </c>
      <c r="E36" s="25" t="str">
        <f>IF(D36&gt;=0,DEC2HEX(D36),DEC2HEX(D36+ 2^32))</f>
        <v>1</v>
      </c>
      <c r="F36" s="29">
        <f t="shared" si="24"/>
        <v>0</v>
      </c>
      <c r="G36" s="19">
        <f t="shared" si="25"/>
        <v>0</v>
      </c>
      <c r="H36" s="19">
        <f t="shared" si="26"/>
        <v>0</v>
      </c>
      <c r="I36" s="30">
        <f t="shared" si="27"/>
        <v>1</v>
      </c>
      <c r="J36" s="29" t="str">
        <f t="shared" si="28"/>
        <v>0</v>
      </c>
      <c r="K36" s="19" t="str">
        <f t="shared" si="29"/>
        <v>0</v>
      </c>
      <c r="L36" s="19" t="str">
        <f t="shared" si="30"/>
        <v>0</v>
      </c>
      <c r="M36" s="30" t="str">
        <f t="shared" si="31"/>
        <v>1</v>
      </c>
      <c r="N36" s="22" t="str">
        <f t="shared" si="33"/>
        <v/>
      </c>
      <c r="O36" s="19" t="str">
        <f t="shared" si="34"/>
        <v/>
      </c>
      <c r="P36" s="19" t="str">
        <f t="shared" si="35"/>
        <v/>
      </c>
      <c r="Q36" s="61" t="str">
        <f t="shared" si="36"/>
        <v>_x0001_</v>
      </c>
      <c r="R36" s="64" t="str">
        <f t="shared" si="22"/>
        <v>_x0001_</v>
      </c>
    </row>
    <row r="37" spans="1:18" ht="13.9" customHeight="1" x14ac:dyDescent="0.25">
      <c r="A37" s="48"/>
      <c r="B37" s="57" t="str">
        <f>Drive!C20</f>
        <v xml:space="preserve"> DEFAULT_enCurrentLimitSelect</v>
      </c>
      <c r="C37" s="4" t="str">
        <f>Drive!B20</f>
        <v>3F888</v>
      </c>
      <c r="D37" s="113">
        <f>Drive!D20</f>
        <v>1</v>
      </c>
      <c r="E37" s="21" t="str">
        <f t="shared" ref="E37:E100" si="37">IF(D37&gt;=0,DEC2HEX(D37),DEC2HEX(D37+ 2^32))</f>
        <v>1</v>
      </c>
      <c r="F37" s="31">
        <f t="shared" si="24"/>
        <v>0</v>
      </c>
      <c r="G37" s="18">
        <f t="shared" si="25"/>
        <v>0</v>
      </c>
      <c r="H37" s="18">
        <f t="shared" si="26"/>
        <v>0</v>
      </c>
      <c r="I37" s="32">
        <f t="shared" si="27"/>
        <v>1</v>
      </c>
      <c r="J37" s="31" t="str">
        <f t="shared" si="28"/>
        <v>0</v>
      </c>
      <c r="K37" s="18" t="str">
        <f t="shared" si="29"/>
        <v>0</v>
      </c>
      <c r="L37" s="18" t="str">
        <f t="shared" si="30"/>
        <v>0</v>
      </c>
      <c r="M37" s="32" t="str">
        <f t="shared" si="31"/>
        <v>1</v>
      </c>
      <c r="N37" s="23" t="str">
        <f t="shared" si="33"/>
        <v/>
      </c>
      <c r="O37" s="18" t="str">
        <f t="shared" si="34"/>
        <v/>
      </c>
      <c r="P37" s="18" t="str">
        <f t="shared" si="35"/>
        <v/>
      </c>
      <c r="Q37" s="65" t="str">
        <f t="shared" si="36"/>
        <v>_x0001_</v>
      </c>
      <c r="R37" s="2" t="str">
        <f t="shared" si="22"/>
        <v>_x0001_</v>
      </c>
    </row>
    <row r="38" spans="1:18" ht="13.9" customHeight="1" x14ac:dyDescent="0.25">
      <c r="A38" s="47"/>
      <c r="B38" s="57" t="str">
        <f>Drive!C21</f>
        <v>pDEFAULT_enReferenceCommandTypeSelect</v>
      </c>
      <c r="C38" s="4" t="str">
        <f>Drive!B21</f>
        <v>3F88C</v>
      </c>
      <c r="D38" s="113">
        <f>Drive!D21</f>
        <v>1</v>
      </c>
      <c r="E38" s="25" t="str">
        <f t="shared" si="37"/>
        <v>1</v>
      </c>
      <c r="F38" s="29">
        <f t="shared" si="24"/>
        <v>0</v>
      </c>
      <c r="G38" s="19">
        <f t="shared" si="25"/>
        <v>0</v>
      </c>
      <c r="H38" s="19">
        <f t="shared" si="26"/>
        <v>0</v>
      </c>
      <c r="I38" s="30">
        <f t="shared" si="27"/>
        <v>1</v>
      </c>
      <c r="J38" s="29" t="str">
        <f t="shared" si="28"/>
        <v>0</v>
      </c>
      <c r="K38" s="19" t="str">
        <f t="shared" si="29"/>
        <v>0</v>
      </c>
      <c r="L38" s="19" t="str">
        <f t="shared" si="30"/>
        <v>0</v>
      </c>
      <c r="M38" s="30" t="str">
        <f t="shared" si="31"/>
        <v>1</v>
      </c>
      <c r="N38" s="22" t="str">
        <f t="shared" si="33"/>
        <v/>
      </c>
      <c r="O38" s="19" t="str">
        <f t="shared" si="34"/>
        <v/>
      </c>
      <c r="P38" s="19" t="str">
        <f t="shared" si="35"/>
        <v/>
      </c>
      <c r="Q38" s="61" t="str">
        <f t="shared" si="36"/>
        <v>_x0001_</v>
      </c>
      <c r="R38" s="64" t="str">
        <f t="shared" si="22"/>
        <v>_x0001_</v>
      </c>
    </row>
    <row r="39" spans="1:18" ht="13.9" customHeight="1" x14ac:dyDescent="0.25">
      <c r="A39" s="48"/>
      <c r="B39" s="57" t="str">
        <f>Drive!C22</f>
        <v>DEFAULT_enReferenceCommandType</v>
      </c>
      <c r="C39" s="4" t="str">
        <f>Drive!B22</f>
        <v>3F890</v>
      </c>
      <c r="D39" s="113">
        <f>Drive!D22</f>
        <v>1</v>
      </c>
      <c r="E39" s="21" t="str">
        <f t="shared" si="37"/>
        <v>1</v>
      </c>
      <c r="F39" s="31">
        <f t="shared" si="24"/>
        <v>0</v>
      </c>
      <c r="G39" s="18">
        <f t="shared" si="25"/>
        <v>0</v>
      </c>
      <c r="H39" s="18">
        <f t="shared" si="26"/>
        <v>0</v>
      </c>
      <c r="I39" s="32">
        <f t="shared" si="27"/>
        <v>1</v>
      </c>
      <c r="J39" s="31" t="str">
        <f t="shared" si="28"/>
        <v>0</v>
      </c>
      <c r="K39" s="18" t="str">
        <f t="shared" si="29"/>
        <v>0</v>
      </c>
      <c r="L39" s="18" t="str">
        <f t="shared" si="30"/>
        <v>0</v>
      </c>
      <c r="M39" s="32" t="str">
        <f t="shared" si="31"/>
        <v>1</v>
      </c>
      <c r="N39" s="23" t="str">
        <f t="shared" si="33"/>
        <v/>
      </c>
      <c r="O39" s="18" t="str">
        <f t="shared" si="34"/>
        <v/>
      </c>
      <c r="P39" s="18" t="str">
        <f t="shared" si="35"/>
        <v/>
      </c>
      <c r="Q39" s="65" t="str">
        <f t="shared" si="36"/>
        <v>_x0001_</v>
      </c>
      <c r="R39" s="2" t="str">
        <f t="shared" si="22"/>
        <v>_x0001_</v>
      </c>
    </row>
    <row r="40" spans="1:18" ht="13.9" customHeight="1" x14ac:dyDescent="0.25">
      <c r="A40" s="47"/>
      <c r="B40" s="57" t="str">
        <f>Drive!C23</f>
        <v xml:space="preserve"> DEFAULT_fFixedRotorVelocityRPM</v>
      </c>
      <c r="C40" s="4" t="str">
        <f>Drive!B23</f>
        <v>3F894</v>
      </c>
      <c r="D40" s="113">
        <f>Drive!D23</f>
        <v>0</v>
      </c>
      <c r="E40" s="25" t="str">
        <f t="shared" si="37"/>
        <v>0</v>
      </c>
      <c r="F40" s="29">
        <f t="shared" si="24"/>
        <v>0</v>
      </c>
      <c r="G40" s="19">
        <f t="shared" si="25"/>
        <v>0</v>
      </c>
      <c r="H40" s="19">
        <f t="shared" si="26"/>
        <v>0</v>
      </c>
      <c r="I40" s="30">
        <f t="shared" si="27"/>
        <v>0</v>
      </c>
      <c r="J40" s="29" t="str">
        <f t="shared" si="28"/>
        <v>0</v>
      </c>
      <c r="K40" s="19" t="str">
        <f t="shared" si="29"/>
        <v>0</v>
      </c>
      <c r="L40" s="19" t="str">
        <f t="shared" si="30"/>
        <v>0</v>
      </c>
      <c r="M40" s="30" t="str">
        <f t="shared" si="31"/>
        <v>0</v>
      </c>
      <c r="N40" s="22" t="str">
        <f t="shared" si="33"/>
        <v/>
      </c>
      <c r="O40" s="19" t="str">
        <f t="shared" si="34"/>
        <v/>
      </c>
      <c r="P40" s="19" t="str">
        <f t="shared" si="35"/>
        <v/>
      </c>
      <c r="Q40" s="61" t="str">
        <f t="shared" si="36"/>
        <v/>
      </c>
      <c r="R40" s="64" t="str">
        <f t="shared" si="22"/>
        <v/>
      </c>
    </row>
    <row r="41" spans="1:18" ht="13.9" customHeight="1" x14ac:dyDescent="0.25">
      <c r="A41" s="48"/>
      <c r="B41" s="57" t="str">
        <f>Drive!C24</f>
        <v xml:space="preserve"> DEFAULT_fFixedCurrentReferencemA</v>
      </c>
      <c r="C41" s="4" t="str">
        <f>Drive!B24</f>
        <v>3F898</v>
      </c>
      <c r="D41" s="113">
        <f>Drive!D24</f>
        <v>1400</v>
      </c>
      <c r="E41" s="21" t="str">
        <f t="shared" si="37"/>
        <v>578</v>
      </c>
      <c r="F41" s="31">
        <f t="shared" si="24"/>
        <v>0</v>
      </c>
      <c r="G41" s="18">
        <f t="shared" si="25"/>
        <v>0</v>
      </c>
      <c r="H41" s="18">
        <f t="shared" si="26"/>
        <v>5</v>
      </c>
      <c r="I41" s="32">
        <f t="shared" si="27"/>
        <v>120</v>
      </c>
      <c r="J41" s="31" t="str">
        <f t="shared" si="28"/>
        <v>0</v>
      </c>
      <c r="K41" s="18" t="str">
        <f t="shared" si="29"/>
        <v>0</v>
      </c>
      <c r="L41" s="18" t="str">
        <f t="shared" si="30"/>
        <v>5</v>
      </c>
      <c r="M41" s="32" t="str">
        <f t="shared" si="31"/>
        <v>78</v>
      </c>
      <c r="N41" s="23" t="str">
        <f t="shared" si="33"/>
        <v/>
      </c>
      <c r="O41" s="18" t="str">
        <f t="shared" si="34"/>
        <v/>
      </c>
      <c r="P41" s="18" t="str">
        <f t="shared" si="35"/>
        <v>_x0005_</v>
      </c>
      <c r="Q41" s="65" t="str">
        <f t="shared" si="36"/>
        <v>x</v>
      </c>
      <c r="R41" s="2" t="str">
        <f t="shared" si="22"/>
        <v>_x0005_x</v>
      </c>
    </row>
    <row r="42" spans="1:18" ht="13.9" customHeight="1" x14ac:dyDescent="0.25">
      <c r="A42" s="47"/>
      <c r="B42" s="57" t="str">
        <f>Drive!C25</f>
        <v xml:space="preserve"> DEFAULT_fMinRotorVelocityLimitRPM</v>
      </c>
      <c r="C42" s="4" t="str">
        <f>Drive!B25</f>
        <v>3F89C</v>
      </c>
      <c r="D42" s="113">
        <f>Drive!D25</f>
        <v>-6000</v>
      </c>
      <c r="E42" s="25" t="str">
        <f t="shared" si="37"/>
        <v>FFFFE890</v>
      </c>
      <c r="F42" s="29">
        <f t="shared" si="24"/>
        <v>255</v>
      </c>
      <c r="G42" s="19">
        <f t="shared" si="25"/>
        <v>255</v>
      </c>
      <c r="H42" s="19">
        <f t="shared" si="26"/>
        <v>232</v>
      </c>
      <c r="I42" s="30">
        <f t="shared" si="27"/>
        <v>144</v>
      </c>
      <c r="J42" s="29" t="str">
        <f t="shared" si="28"/>
        <v>FF</v>
      </c>
      <c r="K42" s="19" t="str">
        <f t="shared" si="29"/>
        <v>FF</v>
      </c>
      <c r="L42" s="19" t="str">
        <f t="shared" si="30"/>
        <v>E8</v>
      </c>
      <c r="M42" s="30" t="str">
        <f t="shared" si="31"/>
        <v>90</v>
      </c>
      <c r="N42" s="22" t="str">
        <f t="shared" si="33"/>
        <v>ÿ</v>
      </c>
      <c r="O42" s="19" t="str">
        <f t="shared" si="34"/>
        <v>ÿ</v>
      </c>
      <c r="P42" s="19" t="str">
        <f t="shared" si="35"/>
        <v>è</v>
      </c>
      <c r="Q42" s="61" t="str">
        <f t="shared" si="36"/>
        <v></v>
      </c>
      <c r="R42" s="64" t="str">
        <f t="shared" si="22"/>
        <v>ÿÿè</v>
      </c>
    </row>
    <row r="43" spans="1:18" ht="13.9" customHeight="1" x14ac:dyDescent="0.25">
      <c r="A43" s="48"/>
      <c r="B43" s="57" t="str">
        <f>Drive!C26</f>
        <v xml:space="preserve"> DEFAULT_fMaxRotorVelocityLimitRPM</v>
      </c>
      <c r="C43" s="4" t="str">
        <f>Drive!B26</f>
        <v>3F8A0</v>
      </c>
      <c r="D43" s="113">
        <f>Drive!D26</f>
        <v>6000</v>
      </c>
      <c r="E43" s="21" t="str">
        <f t="shared" si="37"/>
        <v>1770</v>
      </c>
      <c r="F43" s="31">
        <f t="shared" si="24"/>
        <v>0</v>
      </c>
      <c r="G43" s="18">
        <f t="shared" si="25"/>
        <v>0</v>
      </c>
      <c r="H43" s="18">
        <f t="shared" si="26"/>
        <v>23</v>
      </c>
      <c r="I43" s="32">
        <f t="shared" si="27"/>
        <v>112</v>
      </c>
      <c r="J43" s="31" t="str">
        <f t="shared" si="28"/>
        <v>0</v>
      </c>
      <c r="K43" s="18" t="str">
        <f t="shared" si="29"/>
        <v>0</v>
      </c>
      <c r="L43" s="18" t="str">
        <f t="shared" si="30"/>
        <v>17</v>
      </c>
      <c r="M43" s="32" t="str">
        <f t="shared" si="31"/>
        <v>70</v>
      </c>
      <c r="N43" s="23" t="str">
        <f t="shared" si="33"/>
        <v/>
      </c>
      <c r="O43" s="18" t="str">
        <f t="shared" si="34"/>
        <v/>
      </c>
      <c r="P43" s="18" t="str">
        <f t="shared" si="35"/>
        <v>_x0017_</v>
      </c>
      <c r="Q43" s="65" t="str">
        <f t="shared" si="36"/>
        <v>p</v>
      </c>
      <c r="R43" s="2" t="str">
        <f t="shared" si="22"/>
        <v>_x0017_p</v>
      </c>
    </row>
    <row r="44" spans="1:18" ht="13.9" customHeight="1" x14ac:dyDescent="0.25">
      <c r="A44" s="47"/>
      <c r="B44" s="57" t="str">
        <f>Drive!C27</f>
        <v xml:space="preserve"> DEFAULT_fMinCurrentLimitmA</v>
      </c>
      <c r="C44" s="4" t="str">
        <f>Drive!B27</f>
        <v>3F8A4</v>
      </c>
      <c r="D44" s="113">
        <f>Drive!D27</f>
        <v>-4200</v>
      </c>
      <c r="E44" s="25" t="str">
        <f t="shared" si="37"/>
        <v>FFFFEF98</v>
      </c>
      <c r="F44" s="29">
        <f t="shared" si="24"/>
        <v>255</v>
      </c>
      <c r="G44" s="19">
        <f t="shared" si="25"/>
        <v>255</v>
      </c>
      <c r="H44" s="19">
        <f t="shared" si="26"/>
        <v>239</v>
      </c>
      <c r="I44" s="30">
        <f t="shared" si="27"/>
        <v>152</v>
      </c>
      <c r="J44" s="29" t="str">
        <f t="shared" si="28"/>
        <v>FF</v>
      </c>
      <c r="K44" s="19" t="str">
        <f t="shared" si="29"/>
        <v>FF</v>
      </c>
      <c r="L44" s="19" t="str">
        <f t="shared" si="30"/>
        <v>EF</v>
      </c>
      <c r="M44" s="30" t="str">
        <f t="shared" si="31"/>
        <v>98</v>
      </c>
      <c r="N44" s="22" t="str">
        <f t="shared" si="33"/>
        <v>ÿ</v>
      </c>
      <c r="O44" s="19" t="str">
        <f t="shared" si="34"/>
        <v>ÿ</v>
      </c>
      <c r="P44" s="19" t="str">
        <f t="shared" si="35"/>
        <v>ï</v>
      </c>
      <c r="Q44" s="61" t="str">
        <f t="shared" si="36"/>
        <v>˜</v>
      </c>
      <c r="R44" s="64" t="str">
        <f t="shared" si="22"/>
        <v>ÿÿï˜</v>
      </c>
    </row>
    <row r="45" spans="1:18" ht="13.9" customHeight="1" x14ac:dyDescent="0.25">
      <c r="A45" s="48"/>
      <c r="B45" s="57" t="str">
        <f>Drive!C28</f>
        <v xml:space="preserve"> DEFAULT_fMaxCurrentLimitmA</v>
      </c>
      <c r="C45" s="4" t="str">
        <f>Drive!B28</f>
        <v>3F8A8</v>
      </c>
      <c r="D45" s="113">
        <f>Drive!D28</f>
        <v>4200</v>
      </c>
      <c r="E45" s="21" t="str">
        <f t="shared" si="37"/>
        <v>1068</v>
      </c>
      <c r="F45" s="31">
        <f t="shared" si="24"/>
        <v>0</v>
      </c>
      <c r="G45" s="18">
        <f t="shared" si="25"/>
        <v>0</v>
      </c>
      <c r="H45" s="18">
        <f t="shared" si="26"/>
        <v>16</v>
      </c>
      <c r="I45" s="32">
        <f t="shared" si="27"/>
        <v>104</v>
      </c>
      <c r="J45" s="31" t="str">
        <f t="shared" si="28"/>
        <v>0</v>
      </c>
      <c r="K45" s="18" t="str">
        <f t="shared" si="29"/>
        <v>0</v>
      </c>
      <c r="L45" s="18" t="str">
        <f t="shared" si="30"/>
        <v>10</v>
      </c>
      <c r="M45" s="32" t="str">
        <f t="shared" si="31"/>
        <v>68</v>
      </c>
      <c r="N45" s="23" t="str">
        <f t="shared" si="33"/>
        <v/>
      </c>
      <c r="O45" s="18" t="str">
        <f t="shared" si="34"/>
        <v/>
      </c>
      <c r="P45" s="18" t="str">
        <f t="shared" si="35"/>
        <v>_x0010_</v>
      </c>
      <c r="Q45" s="65" t="str">
        <f t="shared" si="36"/>
        <v>h</v>
      </c>
      <c r="R45" s="2" t="str">
        <f t="shared" si="22"/>
        <v>_x0010_h</v>
      </c>
    </row>
    <row r="46" spans="1:18" ht="13.9" customHeight="1" x14ac:dyDescent="0.25">
      <c r="A46" s="47"/>
      <c r="B46" s="57" t="str">
        <f>Drive!C29</f>
        <v xml:space="preserve"> DEFAULT_isSCurveProfile</v>
      </c>
      <c r="C46" s="4" t="str">
        <f>Drive!B29</f>
        <v>3F8AC</v>
      </c>
      <c r="D46" s="113">
        <f>Drive!D29</f>
        <v>1</v>
      </c>
      <c r="E46" s="25" t="str">
        <f t="shared" si="37"/>
        <v>1</v>
      </c>
      <c r="F46" s="29">
        <f t="shared" si="24"/>
        <v>0</v>
      </c>
      <c r="G46" s="19">
        <f t="shared" si="25"/>
        <v>0</v>
      </c>
      <c r="H46" s="19">
        <f t="shared" si="26"/>
        <v>0</v>
      </c>
      <c r="I46" s="30">
        <f t="shared" si="27"/>
        <v>1</v>
      </c>
      <c r="J46" s="29" t="str">
        <f t="shared" si="28"/>
        <v>0</v>
      </c>
      <c r="K46" s="19" t="str">
        <f t="shared" si="29"/>
        <v>0</v>
      </c>
      <c r="L46" s="19" t="str">
        <f t="shared" si="30"/>
        <v>0</v>
      </c>
      <c r="M46" s="30" t="str">
        <f t="shared" si="31"/>
        <v>1</v>
      </c>
      <c r="N46" s="22" t="str">
        <f t="shared" si="33"/>
        <v/>
      </c>
      <c r="O46" s="19" t="str">
        <f t="shared" si="34"/>
        <v/>
      </c>
      <c r="P46" s="19" t="str">
        <f t="shared" si="35"/>
        <v/>
      </c>
      <c r="Q46" s="61" t="str">
        <f t="shared" si="36"/>
        <v>_x0001_</v>
      </c>
      <c r="R46" s="64" t="str">
        <f t="shared" si="22"/>
        <v>_x0001_</v>
      </c>
    </row>
    <row r="47" spans="1:18" ht="13.9" customHeight="1" x14ac:dyDescent="0.25">
      <c r="A47" s="48"/>
      <c r="B47" s="57" t="str">
        <f>Drive!C30</f>
        <v xml:space="preserve"> DEFAULT_isEnabledExt</v>
      </c>
      <c r="C47" s="4" t="str">
        <f>Drive!B30</f>
        <v>3F8B0</v>
      </c>
      <c r="D47" s="113">
        <f>Drive!D30</f>
        <v>1</v>
      </c>
      <c r="E47" s="21" t="str">
        <f t="shared" si="37"/>
        <v>1</v>
      </c>
      <c r="F47" s="31">
        <f t="shared" si="24"/>
        <v>0</v>
      </c>
      <c r="G47" s="18">
        <f t="shared" si="25"/>
        <v>0</v>
      </c>
      <c r="H47" s="18">
        <f t="shared" si="26"/>
        <v>0</v>
      </c>
      <c r="I47" s="32">
        <f t="shared" si="27"/>
        <v>1</v>
      </c>
      <c r="J47" s="31" t="str">
        <f t="shared" si="28"/>
        <v>0</v>
      </c>
      <c r="K47" s="18" t="str">
        <f t="shared" si="29"/>
        <v>0</v>
      </c>
      <c r="L47" s="18" t="str">
        <f t="shared" si="30"/>
        <v>0</v>
      </c>
      <c r="M47" s="32" t="str">
        <f t="shared" si="31"/>
        <v>1</v>
      </c>
      <c r="N47" s="23" t="str">
        <f t="shared" si="33"/>
        <v/>
      </c>
      <c r="O47" s="18" t="str">
        <f t="shared" si="34"/>
        <v/>
      </c>
      <c r="P47" s="18" t="str">
        <f t="shared" si="35"/>
        <v/>
      </c>
      <c r="Q47" s="65" t="str">
        <f t="shared" si="36"/>
        <v>_x0001_</v>
      </c>
      <c r="R47" s="2" t="str">
        <f t="shared" si="22"/>
        <v>_x0001_</v>
      </c>
    </row>
    <row r="48" spans="1:18" ht="13.9" customHeight="1" x14ac:dyDescent="0.25">
      <c r="A48" s="47"/>
      <c r="B48" s="57" t="str">
        <f>Drive!C31</f>
        <v xml:space="preserve"> DEFAULT_isHighCurrentLoopGain</v>
      </c>
      <c r="C48" s="4" t="str">
        <f>Drive!B31</f>
        <v>3F8B4</v>
      </c>
      <c r="D48" s="113">
        <f>Drive!D31</f>
        <v>1</v>
      </c>
      <c r="E48" s="25" t="str">
        <f t="shared" si="37"/>
        <v>1</v>
      </c>
      <c r="F48" s="29">
        <f t="shared" si="24"/>
        <v>0</v>
      </c>
      <c r="G48" s="19">
        <f t="shared" si="25"/>
        <v>0</v>
      </c>
      <c r="H48" s="19">
        <f t="shared" si="26"/>
        <v>0</v>
      </c>
      <c r="I48" s="30">
        <f t="shared" si="27"/>
        <v>1</v>
      </c>
      <c r="J48" s="29" t="str">
        <f t="shared" si="28"/>
        <v>0</v>
      </c>
      <c r="K48" s="19" t="str">
        <f t="shared" si="29"/>
        <v>0</v>
      </c>
      <c r="L48" s="19" t="str">
        <f t="shared" si="30"/>
        <v>0</v>
      </c>
      <c r="M48" s="30" t="str">
        <f t="shared" si="31"/>
        <v>1</v>
      </c>
      <c r="N48" s="22" t="str">
        <f t="shared" si="33"/>
        <v/>
      </c>
      <c r="O48" s="19" t="str">
        <f t="shared" si="34"/>
        <v/>
      </c>
      <c r="P48" s="19" t="str">
        <f t="shared" si="35"/>
        <v/>
      </c>
      <c r="Q48" s="61" t="str">
        <f t="shared" si="36"/>
        <v>_x0001_</v>
      </c>
      <c r="R48" s="64" t="str">
        <f t="shared" si="22"/>
        <v>_x0001_</v>
      </c>
    </row>
    <row r="49" spans="1:18" ht="13.9" customHeight="1" x14ac:dyDescent="0.25">
      <c r="A49" s="48"/>
      <c r="B49" s="57" t="str">
        <f>Drive!C32</f>
        <v xml:space="preserve"> DEFAULT_VelocityPIDRegulatorProportionalGain</v>
      </c>
      <c r="C49" s="4" t="str">
        <f>Drive!B32</f>
        <v>3F8B8</v>
      </c>
      <c r="D49" s="113">
        <f>Drive!D32</f>
        <v>100</v>
      </c>
      <c r="E49" s="21" t="str">
        <f t="shared" si="37"/>
        <v>64</v>
      </c>
      <c r="F49" s="31">
        <f t="shared" si="24"/>
        <v>0</v>
      </c>
      <c r="G49" s="18">
        <f t="shared" si="25"/>
        <v>0</v>
      </c>
      <c r="H49" s="18">
        <f t="shared" si="26"/>
        <v>0</v>
      </c>
      <c r="I49" s="32">
        <f t="shared" si="27"/>
        <v>100</v>
      </c>
      <c r="J49" s="31" t="str">
        <f t="shared" si="28"/>
        <v>0</v>
      </c>
      <c r="K49" s="18" t="str">
        <f t="shared" si="29"/>
        <v>0</v>
      </c>
      <c r="L49" s="18" t="str">
        <f t="shared" si="30"/>
        <v>0</v>
      </c>
      <c r="M49" s="32" t="str">
        <f t="shared" si="31"/>
        <v>64</v>
      </c>
      <c r="N49" s="23" t="str">
        <f t="shared" si="33"/>
        <v/>
      </c>
      <c r="O49" s="18" t="str">
        <f t="shared" si="34"/>
        <v/>
      </c>
      <c r="P49" s="18" t="str">
        <f t="shared" si="35"/>
        <v/>
      </c>
      <c r="Q49" s="65" t="str">
        <f t="shared" si="36"/>
        <v>d</v>
      </c>
      <c r="R49" s="2" t="str">
        <f t="shared" si="22"/>
        <v>d</v>
      </c>
    </row>
    <row r="50" spans="1:18" ht="13.9" customHeight="1" x14ac:dyDescent="0.25">
      <c r="A50" s="47"/>
      <c r="B50" s="57" t="str">
        <f>Drive!C33</f>
        <v xml:space="preserve"> DEFAULT_VelocityPIDRegulatorIntegralGain</v>
      </c>
      <c r="C50" s="4" t="str">
        <f>Drive!B33</f>
        <v>3F8BC</v>
      </c>
      <c r="D50" s="113">
        <f>Drive!D33</f>
        <v>2000</v>
      </c>
      <c r="E50" s="25" t="str">
        <f t="shared" si="37"/>
        <v>7D0</v>
      </c>
      <c r="F50" s="29">
        <f t="shared" si="24"/>
        <v>0</v>
      </c>
      <c r="G50" s="19">
        <f t="shared" si="25"/>
        <v>0</v>
      </c>
      <c r="H50" s="19">
        <f t="shared" si="26"/>
        <v>7</v>
      </c>
      <c r="I50" s="30">
        <f t="shared" si="27"/>
        <v>208</v>
      </c>
      <c r="J50" s="29" t="str">
        <f t="shared" si="28"/>
        <v>0</v>
      </c>
      <c r="K50" s="19" t="str">
        <f t="shared" si="29"/>
        <v>0</v>
      </c>
      <c r="L50" s="19" t="str">
        <f t="shared" si="30"/>
        <v>7</v>
      </c>
      <c r="M50" s="30" t="str">
        <f t="shared" si="31"/>
        <v>D0</v>
      </c>
      <c r="N50" s="22" t="str">
        <f t="shared" si="33"/>
        <v/>
      </c>
      <c r="O50" s="19" t="str">
        <f t="shared" si="34"/>
        <v/>
      </c>
      <c r="P50" s="19" t="str">
        <f t="shared" si="35"/>
        <v>_x0007_</v>
      </c>
      <c r="Q50" s="61" t="str">
        <f t="shared" si="36"/>
        <v>Ð</v>
      </c>
      <c r="R50" s="64" t="str">
        <f t="shared" si="22"/>
        <v>_x0007_Ð</v>
      </c>
    </row>
    <row r="51" spans="1:18" ht="13.9" customHeight="1" x14ac:dyDescent="0.25">
      <c r="A51" s="48"/>
      <c r="B51" s="57" t="str">
        <f>Drive!C34</f>
        <v xml:space="preserve"> DEFAULT_VelocityPIDRegulatorDerivativeGain</v>
      </c>
      <c r="C51" s="4" t="str">
        <f>Drive!B34</f>
        <v>3F8C0</v>
      </c>
      <c r="D51" s="113">
        <f>Drive!D34</f>
        <v>0</v>
      </c>
      <c r="E51" s="21" t="str">
        <f t="shared" si="37"/>
        <v>0</v>
      </c>
      <c r="F51" s="31">
        <f t="shared" si="24"/>
        <v>0</v>
      </c>
      <c r="G51" s="18">
        <f t="shared" si="25"/>
        <v>0</v>
      </c>
      <c r="H51" s="18">
        <f t="shared" si="26"/>
        <v>0</v>
      </c>
      <c r="I51" s="32">
        <f t="shared" si="27"/>
        <v>0</v>
      </c>
      <c r="J51" s="31" t="str">
        <f t="shared" si="28"/>
        <v>0</v>
      </c>
      <c r="K51" s="18" t="str">
        <f t="shared" si="29"/>
        <v>0</v>
      </c>
      <c r="L51" s="18" t="str">
        <f t="shared" si="30"/>
        <v>0</v>
      </c>
      <c r="M51" s="32" t="str">
        <f t="shared" si="31"/>
        <v>0</v>
      </c>
      <c r="N51" s="23" t="str">
        <f t="shared" si="33"/>
        <v/>
      </c>
      <c r="O51" s="18" t="str">
        <f t="shared" si="34"/>
        <v/>
      </c>
      <c r="P51" s="18" t="str">
        <f t="shared" si="35"/>
        <v/>
      </c>
      <c r="Q51" s="65" t="str">
        <f t="shared" si="36"/>
        <v/>
      </c>
      <c r="R51" s="2" t="str">
        <f t="shared" si="22"/>
        <v/>
      </c>
    </row>
    <row r="52" spans="1:18" ht="13.9" customHeight="1" x14ac:dyDescent="0.25">
      <c r="A52" s="47"/>
      <c r="B52" s="57" t="str">
        <f>Drive!C35</f>
        <v xml:space="preserve"> DEFAULT_VelocityPIDRegulatorFeedForwardGain</v>
      </c>
      <c r="C52" s="4" t="str">
        <f>Drive!B35</f>
        <v>3F8C4</v>
      </c>
      <c r="D52" s="113">
        <f>Drive!D35</f>
        <v>0</v>
      </c>
      <c r="E52" s="25" t="str">
        <f t="shared" si="37"/>
        <v>0</v>
      </c>
      <c r="F52" s="29">
        <f t="shared" si="24"/>
        <v>0</v>
      </c>
      <c r="G52" s="19">
        <f t="shared" si="25"/>
        <v>0</v>
      </c>
      <c r="H52" s="19">
        <f t="shared" si="26"/>
        <v>0</v>
      </c>
      <c r="I52" s="30">
        <f t="shared" si="27"/>
        <v>0</v>
      </c>
      <c r="J52" s="29" t="str">
        <f t="shared" si="28"/>
        <v>0</v>
      </c>
      <c r="K52" s="19" t="str">
        <f t="shared" si="29"/>
        <v>0</v>
      </c>
      <c r="L52" s="19" t="str">
        <f t="shared" si="30"/>
        <v>0</v>
      </c>
      <c r="M52" s="30" t="str">
        <f t="shared" si="31"/>
        <v>0</v>
      </c>
      <c r="N52" s="22" t="str">
        <f t="shared" si="33"/>
        <v/>
      </c>
      <c r="O52" s="19" t="str">
        <f t="shared" si="34"/>
        <v/>
      </c>
      <c r="P52" s="19" t="str">
        <f t="shared" si="35"/>
        <v/>
      </c>
      <c r="Q52" s="61" t="str">
        <f t="shared" si="36"/>
        <v/>
      </c>
      <c r="R52" s="64" t="str">
        <f t="shared" si="22"/>
        <v/>
      </c>
    </row>
    <row r="53" spans="1:18" ht="13.9" customHeight="1" x14ac:dyDescent="0.25">
      <c r="A53" s="48"/>
      <c r="B53" s="57" t="str">
        <f>Drive!C36</f>
        <v xml:space="preserve"> DEFAULT_VelocityPIDRegulatorMaxLimitmA</v>
      </c>
      <c r="C53" s="4" t="str">
        <f>Drive!B36</f>
        <v>3F8C8</v>
      </c>
      <c r="D53" s="113">
        <f>Drive!D36</f>
        <v>4200</v>
      </c>
      <c r="E53" s="21" t="str">
        <f t="shared" si="37"/>
        <v>1068</v>
      </c>
      <c r="F53" s="31">
        <f t="shared" si="24"/>
        <v>0</v>
      </c>
      <c r="G53" s="18">
        <f t="shared" si="25"/>
        <v>0</v>
      </c>
      <c r="H53" s="18">
        <f t="shared" si="26"/>
        <v>16</v>
      </c>
      <c r="I53" s="32">
        <f t="shared" si="27"/>
        <v>104</v>
      </c>
      <c r="J53" s="31" t="str">
        <f t="shared" si="28"/>
        <v>0</v>
      </c>
      <c r="K53" s="18" t="str">
        <f t="shared" si="29"/>
        <v>0</v>
      </c>
      <c r="L53" s="18" t="str">
        <f t="shared" si="30"/>
        <v>10</v>
      </c>
      <c r="M53" s="32" t="str">
        <f t="shared" si="31"/>
        <v>68</v>
      </c>
      <c r="N53" s="23" t="str">
        <f t="shared" si="33"/>
        <v/>
      </c>
      <c r="O53" s="18" t="str">
        <f t="shared" si="34"/>
        <v/>
      </c>
      <c r="P53" s="18" t="str">
        <f t="shared" si="35"/>
        <v>_x0010_</v>
      </c>
      <c r="Q53" s="65" t="str">
        <f t="shared" si="36"/>
        <v>h</v>
      </c>
      <c r="R53" s="2" t="str">
        <f t="shared" si="22"/>
        <v>_x0010_h</v>
      </c>
    </row>
    <row r="54" spans="1:18" ht="13.9" customHeight="1" x14ac:dyDescent="0.25">
      <c r="A54" s="47"/>
      <c r="B54" s="57" t="str">
        <f>Drive!C37</f>
        <v xml:space="preserve"> DEFAULT_VelocityPIDRegulatorMinLimitmA</v>
      </c>
      <c r="C54" s="4" t="str">
        <f>Drive!B37</f>
        <v>3F8CC</v>
      </c>
      <c r="D54" s="113">
        <f>Drive!D37</f>
        <v>-4200</v>
      </c>
      <c r="E54" s="25" t="str">
        <f t="shared" si="37"/>
        <v>FFFFEF98</v>
      </c>
      <c r="F54" s="29">
        <f t="shared" si="24"/>
        <v>255</v>
      </c>
      <c r="G54" s="19">
        <f t="shared" si="25"/>
        <v>255</v>
      </c>
      <c r="H54" s="19">
        <f t="shared" si="26"/>
        <v>239</v>
      </c>
      <c r="I54" s="30">
        <f t="shared" si="27"/>
        <v>152</v>
      </c>
      <c r="J54" s="29" t="str">
        <f t="shared" si="28"/>
        <v>FF</v>
      </c>
      <c r="K54" s="19" t="str">
        <f t="shared" si="29"/>
        <v>FF</v>
      </c>
      <c r="L54" s="19" t="str">
        <f t="shared" si="30"/>
        <v>EF</v>
      </c>
      <c r="M54" s="30" t="str">
        <f t="shared" si="31"/>
        <v>98</v>
      </c>
      <c r="N54" s="22" t="str">
        <f t="shared" si="33"/>
        <v>ÿ</v>
      </c>
      <c r="O54" s="19" t="str">
        <f t="shared" si="34"/>
        <v>ÿ</v>
      </c>
      <c r="P54" s="19" t="str">
        <f t="shared" si="35"/>
        <v>ï</v>
      </c>
      <c r="Q54" s="61" t="str">
        <f t="shared" si="36"/>
        <v>˜</v>
      </c>
      <c r="R54" s="64" t="str">
        <f t="shared" si="22"/>
        <v>ÿÿï˜</v>
      </c>
    </row>
    <row r="55" spans="1:18" ht="13.9" customHeight="1" x14ac:dyDescent="0.25">
      <c r="A55" s="48"/>
      <c r="B55" s="57" t="str">
        <f>Drive!C38</f>
        <v xml:space="preserve"> DEFAULT_PositionPIDRegulatorProportionalGain</v>
      </c>
      <c r="C55" s="4" t="str">
        <f>Drive!B38</f>
        <v>3F8D0</v>
      </c>
      <c r="D55" s="113">
        <f>Drive!D38</f>
        <v>500</v>
      </c>
      <c r="E55" s="21" t="str">
        <f t="shared" si="37"/>
        <v>1F4</v>
      </c>
      <c r="F55" s="31">
        <f t="shared" si="24"/>
        <v>0</v>
      </c>
      <c r="G55" s="18">
        <f t="shared" si="25"/>
        <v>0</v>
      </c>
      <c r="H55" s="18">
        <f t="shared" si="26"/>
        <v>1</v>
      </c>
      <c r="I55" s="32">
        <f t="shared" si="27"/>
        <v>244</v>
      </c>
      <c r="J55" s="31" t="str">
        <f t="shared" si="28"/>
        <v>0</v>
      </c>
      <c r="K55" s="18" t="str">
        <f t="shared" si="29"/>
        <v>0</v>
      </c>
      <c r="L55" s="18" t="str">
        <f t="shared" si="30"/>
        <v>1</v>
      </c>
      <c r="M55" s="32" t="str">
        <f t="shared" si="31"/>
        <v>F4</v>
      </c>
      <c r="N55" s="23" t="str">
        <f t="shared" si="33"/>
        <v/>
      </c>
      <c r="O55" s="18" t="str">
        <f t="shared" si="34"/>
        <v/>
      </c>
      <c r="P55" s="18" t="str">
        <f t="shared" si="35"/>
        <v>_x0001_</v>
      </c>
      <c r="Q55" s="65" t="str">
        <f t="shared" si="36"/>
        <v>ô</v>
      </c>
      <c r="R55" s="2" t="str">
        <f t="shared" si="22"/>
        <v>_x0001_ô</v>
      </c>
    </row>
    <row r="56" spans="1:18" ht="13.9" customHeight="1" x14ac:dyDescent="0.25">
      <c r="A56" s="47"/>
      <c r="B56" s="57" t="str">
        <f>Drive!C39</f>
        <v xml:space="preserve"> DEFAULT_PositionPIDRegulatorIntegralGain</v>
      </c>
      <c r="C56" s="4" t="str">
        <f>Drive!B39</f>
        <v>3F8D4</v>
      </c>
      <c r="D56" s="113">
        <f>Drive!D39</f>
        <v>0</v>
      </c>
      <c r="E56" s="25" t="str">
        <f t="shared" si="37"/>
        <v>0</v>
      </c>
      <c r="F56" s="29">
        <f t="shared" si="24"/>
        <v>0</v>
      </c>
      <c r="G56" s="19">
        <f t="shared" si="25"/>
        <v>0</v>
      </c>
      <c r="H56" s="19">
        <f t="shared" si="26"/>
        <v>0</v>
      </c>
      <c r="I56" s="30">
        <f t="shared" si="27"/>
        <v>0</v>
      </c>
      <c r="J56" s="29" t="str">
        <f t="shared" si="28"/>
        <v>0</v>
      </c>
      <c r="K56" s="19" t="str">
        <f t="shared" si="29"/>
        <v>0</v>
      </c>
      <c r="L56" s="19" t="str">
        <f t="shared" si="30"/>
        <v>0</v>
      </c>
      <c r="M56" s="30" t="str">
        <f t="shared" si="31"/>
        <v>0</v>
      </c>
      <c r="N56" s="22" t="str">
        <f t="shared" si="33"/>
        <v/>
      </c>
      <c r="O56" s="19" t="str">
        <f t="shared" si="34"/>
        <v/>
      </c>
      <c r="P56" s="19" t="str">
        <f t="shared" si="35"/>
        <v/>
      </c>
      <c r="Q56" s="61" t="str">
        <f t="shared" si="36"/>
        <v/>
      </c>
      <c r="R56" s="64" t="str">
        <f t="shared" si="22"/>
        <v/>
      </c>
    </row>
    <row r="57" spans="1:18" ht="13.9" customHeight="1" x14ac:dyDescent="0.25">
      <c r="A57" s="48"/>
      <c r="B57" s="57" t="str">
        <f>Drive!C40</f>
        <v xml:space="preserve"> DEFAULT_PositionPIDRegulatorDerivativeGain</v>
      </c>
      <c r="C57" s="4" t="str">
        <f>Drive!B40</f>
        <v>3F8D8</v>
      </c>
      <c r="D57" s="113">
        <f>Drive!D40</f>
        <v>2000</v>
      </c>
      <c r="E57" s="21" t="str">
        <f t="shared" si="37"/>
        <v>7D0</v>
      </c>
      <c r="F57" s="31">
        <f t="shared" si="24"/>
        <v>0</v>
      </c>
      <c r="G57" s="18">
        <f t="shared" si="25"/>
        <v>0</v>
      </c>
      <c r="H57" s="18">
        <f t="shared" si="26"/>
        <v>7</v>
      </c>
      <c r="I57" s="32">
        <f t="shared" si="27"/>
        <v>208</v>
      </c>
      <c r="J57" s="31" t="str">
        <f t="shared" si="28"/>
        <v>0</v>
      </c>
      <c r="K57" s="18" t="str">
        <f t="shared" si="29"/>
        <v>0</v>
      </c>
      <c r="L57" s="18" t="str">
        <f t="shared" si="30"/>
        <v>7</v>
      </c>
      <c r="M57" s="32" t="str">
        <f t="shared" si="31"/>
        <v>D0</v>
      </c>
      <c r="N57" s="23" t="str">
        <f t="shared" si="33"/>
        <v/>
      </c>
      <c r="O57" s="18" t="str">
        <f t="shared" si="34"/>
        <v/>
      </c>
      <c r="P57" s="18" t="str">
        <f t="shared" si="35"/>
        <v>_x0007_</v>
      </c>
      <c r="Q57" s="65" t="str">
        <f t="shared" si="36"/>
        <v>Ð</v>
      </c>
      <c r="R57" s="2" t="str">
        <f t="shared" si="22"/>
        <v>_x0007_Ð</v>
      </c>
    </row>
    <row r="58" spans="1:18" ht="13.9" customHeight="1" x14ac:dyDescent="0.25">
      <c r="A58" s="47"/>
      <c r="B58" s="57" t="str">
        <f>Drive!C41</f>
        <v xml:space="preserve"> DEFAULT_PositionPIDRegulatorFeedForwardGain</v>
      </c>
      <c r="C58" s="4" t="str">
        <f>Drive!B41</f>
        <v>3F8DC</v>
      </c>
      <c r="D58" s="113">
        <f>Drive!D41</f>
        <v>100</v>
      </c>
      <c r="E58" s="25" t="str">
        <f t="shared" si="37"/>
        <v>64</v>
      </c>
      <c r="F58" s="29">
        <f t="shared" si="24"/>
        <v>0</v>
      </c>
      <c r="G58" s="19">
        <f t="shared" si="25"/>
        <v>0</v>
      </c>
      <c r="H58" s="19">
        <f t="shared" si="26"/>
        <v>0</v>
      </c>
      <c r="I58" s="30">
        <f t="shared" si="27"/>
        <v>100</v>
      </c>
      <c r="J58" s="29" t="str">
        <f t="shared" si="28"/>
        <v>0</v>
      </c>
      <c r="K58" s="19" t="str">
        <f t="shared" si="29"/>
        <v>0</v>
      </c>
      <c r="L58" s="19" t="str">
        <f t="shared" si="30"/>
        <v>0</v>
      </c>
      <c r="M58" s="30" t="str">
        <f t="shared" si="31"/>
        <v>64</v>
      </c>
      <c r="N58" s="22" t="str">
        <f t="shared" si="33"/>
        <v/>
      </c>
      <c r="O58" s="19" t="str">
        <f t="shared" si="34"/>
        <v/>
      </c>
      <c r="P58" s="19" t="str">
        <f t="shared" si="35"/>
        <v/>
      </c>
      <c r="Q58" s="61" t="str">
        <f t="shared" si="36"/>
        <v>d</v>
      </c>
      <c r="R58" s="64" t="str">
        <f t="shared" si="22"/>
        <v>d</v>
      </c>
    </row>
    <row r="59" spans="1:18" ht="13.9" customHeight="1" x14ac:dyDescent="0.25">
      <c r="A59" s="48"/>
      <c r="B59" s="57" t="str">
        <f>Drive!C42</f>
        <v xml:space="preserve"> DEFAULT_PositionPIDRegulatorMaxLimitRPM</v>
      </c>
      <c r="C59" s="4" t="str">
        <f>Drive!B42</f>
        <v>3F8E0</v>
      </c>
      <c r="D59" s="113">
        <f>Drive!D42</f>
        <v>6000</v>
      </c>
      <c r="E59" s="21" t="str">
        <f t="shared" si="37"/>
        <v>1770</v>
      </c>
      <c r="F59" s="31">
        <f t="shared" si="24"/>
        <v>0</v>
      </c>
      <c r="G59" s="18">
        <f t="shared" si="25"/>
        <v>0</v>
      </c>
      <c r="H59" s="18">
        <f t="shared" si="26"/>
        <v>23</v>
      </c>
      <c r="I59" s="32">
        <f t="shared" si="27"/>
        <v>112</v>
      </c>
      <c r="J59" s="31" t="str">
        <f t="shared" si="28"/>
        <v>0</v>
      </c>
      <c r="K59" s="18" t="str">
        <f t="shared" si="29"/>
        <v>0</v>
      </c>
      <c r="L59" s="18" t="str">
        <f t="shared" si="30"/>
        <v>17</v>
      </c>
      <c r="M59" s="32" t="str">
        <f t="shared" si="31"/>
        <v>70</v>
      </c>
      <c r="N59" s="23" t="str">
        <f t="shared" si="33"/>
        <v/>
      </c>
      <c r="O59" s="18" t="str">
        <f t="shared" si="34"/>
        <v/>
      </c>
      <c r="P59" s="18" t="str">
        <f t="shared" si="35"/>
        <v>_x0017_</v>
      </c>
      <c r="Q59" s="65" t="str">
        <f t="shared" si="36"/>
        <v>p</v>
      </c>
      <c r="R59" s="2" t="str">
        <f t="shared" si="22"/>
        <v>_x0017_p</v>
      </c>
    </row>
    <row r="60" spans="1:18" ht="13.9" customHeight="1" x14ac:dyDescent="0.25">
      <c r="A60" s="47"/>
      <c r="B60" s="57" t="str">
        <f>Drive!C43</f>
        <v xml:space="preserve"> DEFAULT_PositionPIDRegulatorMinLimitRPM</v>
      </c>
      <c r="C60" s="4" t="str">
        <f>Drive!B43</f>
        <v>3F8E4</v>
      </c>
      <c r="D60" s="113">
        <f>Drive!D43</f>
        <v>-6000</v>
      </c>
      <c r="E60" s="25" t="str">
        <f t="shared" si="37"/>
        <v>FFFFE890</v>
      </c>
      <c r="F60" s="29">
        <f t="shared" si="24"/>
        <v>255</v>
      </c>
      <c r="G60" s="19">
        <f t="shared" si="25"/>
        <v>255</v>
      </c>
      <c r="H60" s="19">
        <f t="shared" si="26"/>
        <v>232</v>
      </c>
      <c r="I60" s="30">
        <f t="shared" si="27"/>
        <v>144</v>
      </c>
      <c r="J60" s="29" t="str">
        <f t="shared" si="28"/>
        <v>FF</v>
      </c>
      <c r="K60" s="19" t="str">
        <f t="shared" si="29"/>
        <v>FF</v>
      </c>
      <c r="L60" s="19" t="str">
        <f t="shared" si="30"/>
        <v>E8</v>
      </c>
      <c r="M60" s="30" t="str">
        <f t="shared" si="31"/>
        <v>90</v>
      </c>
      <c r="N60" s="22" t="str">
        <f t="shared" si="33"/>
        <v>ÿ</v>
      </c>
      <c r="O60" s="19" t="str">
        <f t="shared" si="34"/>
        <v>ÿ</v>
      </c>
      <c r="P60" s="19" t="str">
        <f t="shared" si="35"/>
        <v>è</v>
      </c>
      <c r="Q60" s="61" t="str">
        <f t="shared" si="36"/>
        <v></v>
      </c>
      <c r="R60" s="64" t="str">
        <f t="shared" si="22"/>
        <v>ÿÿè</v>
      </c>
    </row>
    <row r="61" spans="1:18" ht="13.9" customHeight="1" x14ac:dyDescent="0.25">
      <c r="A61" s="48"/>
      <c r="B61" s="57" t="str">
        <f>Drive!C44</f>
        <v xml:space="preserve"> DEFAULT_isPosition1InterruptEnabled</v>
      </c>
      <c r="C61" s="4" t="str">
        <f>Drive!B44</f>
        <v>3F8E8</v>
      </c>
      <c r="D61" s="113">
        <f>Drive!D44</f>
        <v>0</v>
      </c>
      <c r="E61" s="21" t="str">
        <f t="shared" si="37"/>
        <v>0</v>
      </c>
      <c r="F61" s="31">
        <f t="shared" si="24"/>
        <v>0</v>
      </c>
      <c r="G61" s="18">
        <f t="shared" si="25"/>
        <v>0</v>
      </c>
      <c r="H61" s="18">
        <f t="shared" si="26"/>
        <v>0</v>
      </c>
      <c r="I61" s="32">
        <f t="shared" si="27"/>
        <v>0</v>
      </c>
      <c r="J61" s="31" t="str">
        <f t="shared" si="28"/>
        <v>0</v>
      </c>
      <c r="K61" s="18" t="str">
        <f t="shared" si="29"/>
        <v>0</v>
      </c>
      <c r="L61" s="18" t="str">
        <f t="shared" si="30"/>
        <v>0</v>
      </c>
      <c r="M61" s="32" t="str">
        <f t="shared" si="31"/>
        <v>0</v>
      </c>
      <c r="N61" s="23" t="str">
        <f t="shared" si="33"/>
        <v/>
      </c>
      <c r="O61" s="18" t="str">
        <f t="shared" si="34"/>
        <v/>
      </c>
      <c r="P61" s="18" t="str">
        <f t="shared" si="35"/>
        <v/>
      </c>
      <c r="Q61" s="65" t="str">
        <f t="shared" si="36"/>
        <v/>
      </c>
      <c r="R61" s="2" t="str">
        <f t="shared" si="22"/>
        <v/>
      </c>
    </row>
    <row r="62" spans="1:18" ht="13.9" customHeight="1" x14ac:dyDescent="0.25">
      <c r="A62" s="47"/>
      <c r="B62" s="57" t="str">
        <f>Drive!C45</f>
        <v xml:space="preserve"> DEFAULT_TripPosition1RelativemRev</v>
      </c>
      <c r="C62" s="4" t="str">
        <f>Drive!B45</f>
        <v>3F8EC</v>
      </c>
      <c r="D62" s="113">
        <f>Drive!D45</f>
        <v>2147483647</v>
      </c>
      <c r="E62" s="25" t="str">
        <f t="shared" si="37"/>
        <v>7FFFFFFF</v>
      </c>
      <c r="F62" s="29">
        <f t="shared" si="24"/>
        <v>127</v>
      </c>
      <c r="G62" s="19">
        <f t="shared" si="25"/>
        <v>255</v>
      </c>
      <c r="H62" s="19">
        <f t="shared" si="26"/>
        <v>255</v>
      </c>
      <c r="I62" s="30">
        <f t="shared" si="27"/>
        <v>255</v>
      </c>
      <c r="J62" s="29" t="str">
        <f t="shared" si="28"/>
        <v>7F</v>
      </c>
      <c r="K62" s="19" t="str">
        <f t="shared" si="29"/>
        <v>FF</v>
      </c>
      <c r="L62" s="19" t="str">
        <f t="shared" si="30"/>
        <v>FF</v>
      </c>
      <c r="M62" s="30" t="str">
        <f t="shared" si="31"/>
        <v>FF</v>
      </c>
      <c r="N62" s="22" t="str">
        <f t="shared" si="33"/>
        <v></v>
      </c>
      <c r="O62" s="19" t="str">
        <f t="shared" si="34"/>
        <v>ÿ</v>
      </c>
      <c r="P62" s="19" t="str">
        <f t="shared" si="35"/>
        <v>ÿ</v>
      </c>
      <c r="Q62" s="61" t="str">
        <f t="shared" si="36"/>
        <v>ÿ</v>
      </c>
      <c r="R62" s="64" t="str">
        <f t="shared" si="22"/>
        <v>ÿÿÿ</v>
      </c>
    </row>
    <row r="63" spans="1:18" ht="13.9" customHeight="1" x14ac:dyDescent="0.25">
      <c r="A63" s="48"/>
      <c r="B63" s="57" t="str">
        <f>Drive!C46</f>
        <v xml:space="preserve"> DEFAULT_isPosition2InterruptEnabled</v>
      </c>
      <c r="C63" s="4" t="str">
        <f>Drive!B46</f>
        <v>3F8F0</v>
      </c>
      <c r="D63" s="113">
        <f>Drive!D46</f>
        <v>0</v>
      </c>
      <c r="E63" s="21" t="str">
        <f t="shared" si="37"/>
        <v>0</v>
      </c>
      <c r="F63" s="31">
        <f t="shared" si="24"/>
        <v>0</v>
      </c>
      <c r="G63" s="18">
        <f t="shared" si="25"/>
        <v>0</v>
      </c>
      <c r="H63" s="18">
        <f t="shared" si="26"/>
        <v>0</v>
      </c>
      <c r="I63" s="32">
        <f t="shared" si="27"/>
        <v>0</v>
      </c>
      <c r="J63" s="31" t="str">
        <f t="shared" si="28"/>
        <v>0</v>
      </c>
      <c r="K63" s="18" t="str">
        <f t="shared" si="29"/>
        <v>0</v>
      </c>
      <c r="L63" s="18" t="str">
        <f t="shared" si="30"/>
        <v>0</v>
      </c>
      <c r="M63" s="32" t="str">
        <f t="shared" si="31"/>
        <v>0</v>
      </c>
      <c r="N63" s="23" t="str">
        <f t="shared" si="33"/>
        <v/>
      </c>
      <c r="O63" s="18" t="str">
        <f t="shared" si="34"/>
        <v/>
      </c>
      <c r="P63" s="18" t="str">
        <f t="shared" si="35"/>
        <v/>
      </c>
      <c r="Q63" s="65" t="str">
        <f t="shared" si="36"/>
        <v/>
      </c>
      <c r="R63" s="2" t="str">
        <f t="shared" si="22"/>
        <v/>
      </c>
    </row>
    <row r="64" spans="1:18" ht="13.9" customHeight="1" x14ac:dyDescent="0.25">
      <c r="A64" s="47"/>
      <c r="B64" s="57" t="str">
        <f>Drive!C47</f>
        <v xml:space="preserve"> DEFAULT_TripPosition2RelativemRev</v>
      </c>
      <c r="C64" s="4" t="str">
        <f>Drive!B47</f>
        <v>3F8F4</v>
      </c>
      <c r="D64" s="113">
        <f>Drive!D47</f>
        <v>2147483647</v>
      </c>
      <c r="E64" s="25" t="str">
        <f t="shared" si="37"/>
        <v>7FFFFFFF</v>
      </c>
      <c r="F64" s="29">
        <f t="shared" si="24"/>
        <v>127</v>
      </c>
      <c r="G64" s="19">
        <f t="shared" si="25"/>
        <v>255</v>
      </c>
      <c r="H64" s="19">
        <f t="shared" si="26"/>
        <v>255</v>
      </c>
      <c r="I64" s="30">
        <f t="shared" si="27"/>
        <v>255</v>
      </c>
      <c r="J64" s="29" t="str">
        <f t="shared" si="28"/>
        <v>7F</v>
      </c>
      <c r="K64" s="19" t="str">
        <f t="shared" si="29"/>
        <v>FF</v>
      </c>
      <c r="L64" s="19" t="str">
        <f t="shared" si="30"/>
        <v>FF</v>
      </c>
      <c r="M64" s="30" t="str">
        <f t="shared" si="31"/>
        <v>FF</v>
      </c>
      <c r="N64" s="22" t="str">
        <f t="shared" si="33"/>
        <v></v>
      </c>
      <c r="O64" s="19" t="str">
        <f t="shared" si="34"/>
        <v>ÿ</v>
      </c>
      <c r="P64" s="19" t="str">
        <f t="shared" si="35"/>
        <v>ÿ</v>
      </c>
      <c r="Q64" s="61" t="str">
        <f t="shared" si="36"/>
        <v>ÿ</v>
      </c>
      <c r="R64" s="64" t="str">
        <f t="shared" si="22"/>
        <v>ÿÿÿ</v>
      </c>
    </row>
    <row r="65" spans="1:18" ht="13.9" customHeight="1" x14ac:dyDescent="0.25">
      <c r="A65" s="48"/>
      <c r="B65" s="57" t="str">
        <f>Drive!C48</f>
        <v xml:space="preserve"> DEFAULT_isPositionErrorInterruptEnabled</v>
      </c>
      <c r="C65" s="4" t="str">
        <f>Drive!B48</f>
        <v>3F8F8</v>
      </c>
      <c r="D65" s="113">
        <f>Drive!D48</f>
        <v>0</v>
      </c>
      <c r="E65" s="21" t="str">
        <f t="shared" si="37"/>
        <v>0</v>
      </c>
      <c r="F65" s="31">
        <f t="shared" si="24"/>
        <v>0</v>
      </c>
      <c r="G65" s="18">
        <f t="shared" si="25"/>
        <v>0</v>
      </c>
      <c r="H65" s="18">
        <f t="shared" si="26"/>
        <v>0</v>
      </c>
      <c r="I65" s="32">
        <f t="shared" si="27"/>
        <v>0</v>
      </c>
      <c r="J65" s="31" t="str">
        <f t="shared" si="28"/>
        <v>0</v>
      </c>
      <c r="K65" s="18" t="str">
        <f t="shared" si="29"/>
        <v>0</v>
      </c>
      <c r="L65" s="18" t="str">
        <f t="shared" si="30"/>
        <v>0</v>
      </c>
      <c r="M65" s="32" t="str">
        <f t="shared" si="31"/>
        <v>0</v>
      </c>
      <c r="N65" s="23" t="str">
        <f t="shared" si="33"/>
        <v/>
      </c>
      <c r="O65" s="18" t="str">
        <f t="shared" si="34"/>
        <v/>
      </c>
      <c r="P65" s="18" t="str">
        <f t="shared" si="35"/>
        <v/>
      </c>
      <c r="Q65" s="65" t="str">
        <f t="shared" si="36"/>
        <v/>
      </c>
      <c r="R65" s="2" t="str">
        <f t="shared" si="22"/>
        <v/>
      </c>
    </row>
    <row r="66" spans="1:18" ht="13.9" customHeight="1" x14ac:dyDescent="0.25">
      <c r="A66" s="47"/>
      <c r="B66" s="57" t="str">
        <f>Drive!C49</f>
        <v xml:space="preserve"> DEFAULT_TripPositionAbsErrormRev</v>
      </c>
      <c r="C66" s="4" t="str">
        <f>Drive!B49</f>
        <v>3F8FC</v>
      </c>
      <c r="D66" s="113">
        <f>Drive!D49</f>
        <v>2147483647</v>
      </c>
      <c r="E66" s="25" t="str">
        <f t="shared" si="37"/>
        <v>7FFFFFFF</v>
      </c>
      <c r="F66" s="29">
        <f t="shared" si="24"/>
        <v>127</v>
      </c>
      <c r="G66" s="19">
        <f t="shared" si="25"/>
        <v>255</v>
      </c>
      <c r="H66" s="19">
        <f t="shared" si="26"/>
        <v>255</v>
      </c>
      <c r="I66" s="30">
        <f t="shared" si="27"/>
        <v>255</v>
      </c>
      <c r="J66" s="29" t="str">
        <f t="shared" si="28"/>
        <v>7F</v>
      </c>
      <c r="K66" s="19" t="str">
        <f t="shared" si="29"/>
        <v>FF</v>
      </c>
      <c r="L66" s="19" t="str">
        <f t="shared" si="30"/>
        <v>FF</v>
      </c>
      <c r="M66" s="30" t="str">
        <f t="shared" si="31"/>
        <v>FF</v>
      </c>
      <c r="N66" s="22" t="str">
        <f t="shared" si="33"/>
        <v></v>
      </c>
      <c r="O66" s="19" t="str">
        <f t="shared" si="34"/>
        <v>ÿ</v>
      </c>
      <c r="P66" s="19" t="str">
        <f t="shared" si="35"/>
        <v>ÿ</v>
      </c>
      <c r="Q66" s="61" t="str">
        <f t="shared" si="36"/>
        <v>ÿ</v>
      </c>
      <c r="R66" s="64" t="str">
        <f t="shared" si="22"/>
        <v>ÿÿÿ</v>
      </c>
    </row>
    <row r="67" spans="1:18" ht="13.9" customHeight="1" x14ac:dyDescent="0.25">
      <c r="A67" s="48"/>
      <c r="B67" s="57" t="str">
        <f>Drive!C50</f>
        <v xml:space="preserve"> DEFAULT_isIlimitDurationInterruptEnabled</v>
      </c>
      <c r="C67" s="4" t="str">
        <f>Drive!B50</f>
        <v>3F900</v>
      </c>
      <c r="D67" s="113">
        <f>Drive!D50</f>
        <v>0</v>
      </c>
      <c r="E67" s="21" t="str">
        <f t="shared" si="37"/>
        <v>0</v>
      </c>
      <c r="F67" s="31">
        <f t="shared" si="24"/>
        <v>0</v>
      </c>
      <c r="G67" s="18">
        <f t="shared" si="25"/>
        <v>0</v>
      </c>
      <c r="H67" s="18">
        <f t="shared" si="26"/>
        <v>0</v>
      </c>
      <c r="I67" s="32">
        <f t="shared" si="27"/>
        <v>0</v>
      </c>
      <c r="J67" s="31" t="str">
        <f t="shared" si="28"/>
        <v>0</v>
      </c>
      <c r="K67" s="18" t="str">
        <f t="shared" si="29"/>
        <v>0</v>
      </c>
      <c r="L67" s="18" t="str">
        <f t="shared" si="30"/>
        <v>0</v>
      </c>
      <c r="M67" s="32" t="str">
        <f t="shared" si="31"/>
        <v>0</v>
      </c>
      <c r="N67" s="23" t="str">
        <f t="shared" si="33"/>
        <v/>
      </c>
      <c r="O67" s="18" t="str">
        <f t="shared" si="34"/>
        <v/>
      </c>
      <c r="P67" s="18" t="str">
        <f t="shared" si="35"/>
        <v/>
      </c>
      <c r="Q67" s="65" t="str">
        <f t="shared" si="36"/>
        <v/>
      </c>
      <c r="R67" s="2" t="str">
        <f t="shared" si="22"/>
        <v/>
      </c>
    </row>
    <row r="68" spans="1:18" ht="13.9" customHeight="1" x14ac:dyDescent="0.25">
      <c r="A68" s="47"/>
      <c r="B68" s="57" t="str">
        <f>Drive!C51</f>
        <v xml:space="preserve"> DEFAULT_TripILimitDurationmSec</v>
      </c>
      <c r="C68" s="4" t="str">
        <f>Drive!B51</f>
        <v>3F904</v>
      </c>
      <c r="D68" s="113">
        <f>Drive!D51</f>
        <v>1000</v>
      </c>
      <c r="E68" s="25" t="str">
        <f t="shared" si="37"/>
        <v>3E8</v>
      </c>
      <c r="F68" s="29">
        <f t="shared" si="24"/>
        <v>0</v>
      </c>
      <c r="G68" s="19">
        <f t="shared" si="25"/>
        <v>0</v>
      </c>
      <c r="H68" s="19">
        <f t="shared" si="26"/>
        <v>3</v>
      </c>
      <c r="I68" s="30">
        <f t="shared" si="27"/>
        <v>232</v>
      </c>
      <c r="J68" s="29" t="str">
        <f t="shared" si="28"/>
        <v>0</v>
      </c>
      <c r="K68" s="19" t="str">
        <f t="shared" si="29"/>
        <v>0</v>
      </c>
      <c r="L68" s="19" t="str">
        <f t="shared" si="30"/>
        <v>3</v>
      </c>
      <c r="M68" s="30" t="str">
        <f t="shared" si="31"/>
        <v>E8</v>
      </c>
      <c r="N68" s="22" t="str">
        <f t="shared" si="33"/>
        <v/>
      </c>
      <c r="O68" s="19" t="str">
        <f t="shared" si="34"/>
        <v/>
      </c>
      <c r="P68" s="19" t="str">
        <f t="shared" si="35"/>
        <v>_x0003_</v>
      </c>
      <c r="Q68" s="61" t="str">
        <f t="shared" si="36"/>
        <v>è</v>
      </c>
      <c r="R68" s="64" t="str">
        <f t="shared" si="22"/>
        <v>_x0003_è</v>
      </c>
    </row>
    <row r="69" spans="1:18" ht="13.9" customHeight="1" x14ac:dyDescent="0.25">
      <c r="A69" s="48"/>
      <c r="B69" s="57" t="str">
        <f>Drive!C52</f>
        <v xml:space="preserve"> DEFAULT_PositionErrorDeadbandmRev</v>
      </c>
      <c r="C69" s="4" t="str">
        <f>Drive!B52</f>
        <v>3F908</v>
      </c>
      <c r="D69" s="113">
        <f>Drive!D52</f>
        <v>0</v>
      </c>
      <c r="E69" s="21" t="str">
        <f t="shared" si="37"/>
        <v>0</v>
      </c>
      <c r="F69" s="31">
        <f t="shared" si="24"/>
        <v>0</v>
      </c>
      <c r="G69" s="18">
        <f t="shared" si="25"/>
        <v>0</v>
      </c>
      <c r="H69" s="18">
        <f t="shared" si="26"/>
        <v>0</v>
      </c>
      <c r="I69" s="32">
        <f t="shared" si="27"/>
        <v>0</v>
      </c>
      <c r="J69" s="31" t="str">
        <f t="shared" si="28"/>
        <v>0</v>
      </c>
      <c r="K69" s="18" t="str">
        <f t="shared" si="29"/>
        <v>0</v>
      </c>
      <c r="L69" s="18" t="str">
        <f t="shared" si="30"/>
        <v>0</v>
      </c>
      <c r="M69" s="32" t="str">
        <f t="shared" si="31"/>
        <v>0</v>
      </c>
      <c r="N69" s="23" t="str">
        <f t="shared" si="33"/>
        <v/>
      </c>
      <c r="O69" s="18" t="str">
        <f t="shared" si="34"/>
        <v/>
      </c>
      <c r="P69" s="18" t="str">
        <f t="shared" si="35"/>
        <v/>
      </c>
      <c r="Q69" s="65" t="str">
        <f t="shared" si="36"/>
        <v/>
      </c>
      <c r="R69" s="2" t="str">
        <f t="shared" si="22"/>
        <v/>
      </c>
    </row>
    <row r="70" spans="1:18" ht="13.9" customHeight="1" x14ac:dyDescent="0.25">
      <c r="A70" s="47"/>
      <c r="B70" s="57" t="str">
        <f>Drive!C53</f>
        <v xml:space="preserve"> DEFAULT_FieldBusType</v>
      </c>
      <c r="C70" s="4" t="str">
        <f>Drive!B53</f>
        <v>3F90C</v>
      </c>
      <c r="D70" s="113">
        <f>Drive!D53</f>
        <v>0</v>
      </c>
      <c r="E70" s="25" t="str">
        <f t="shared" si="37"/>
        <v>0</v>
      </c>
      <c r="F70" s="29">
        <f t="shared" si="24"/>
        <v>0</v>
      </c>
      <c r="G70" s="19">
        <f t="shared" si="25"/>
        <v>0</v>
      </c>
      <c r="H70" s="19">
        <f t="shared" si="26"/>
        <v>0</v>
      </c>
      <c r="I70" s="30">
        <f t="shared" si="27"/>
        <v>0</v>
      </c>
      <c r="J70" s="29" t="str">
        <f t="shared" si="28"/>
        <v>0</v>
      </c>
      <c r="K70" s="19" t="str">
        <f t="shared" si="29"/>
        <v>0</v>
      </c>
      <c r="L70" s="19" t="str">
        <f t="shared" si="30"/>
        <v>0</v>
      </c>
      <c r="M70" s="30" t="str">
        <f t="shared" si="31"/>
        <v>0</v>
      </c>
      <c r="N70" s="22" t="str">
        <f t="shared" si="33"/>
        <v/>
      </c>
      <c r="O70" s="19" t="str">
        <f t="shared" si="34"/>
        <v/>
      </c>
      <c r="P70" s="19" t="str">
        <f t="shared" si="35"/>
        <v/>
      </c>
      <c r="Q70" s="61" t="str">
        <f t="shared" si="36"/>
        <v/>
      </c>
      <c r="R70" s="64" t="str">
        <f t="shared" si="22"/>
        <v/>
      </c>
    </row>
    <row r="71" spans="1:18" ht="13.9" customHeight="1" x14ac:dyDescent="0.25">
      <c r="A71" s="48"/>
      <c r="B71" s="57" t="str">
        <f>Drive!C54</f>
        <v xml:space="preserve"> DEFAULT_WriteEnable</v>
      </c>
      <c r="C71" s="4" t="str">
        <f>Drive!B54</f>
        <v>3F910</v>
      </c>
      <c r="D71" s="113">
        <f>Drive!D54</f>
        <v>0</v>
      </c>
      <c r="E71" s="21" t="str">
        <f t="shared" si="37"/>
        <v>0</v>
      </c>
      <c r="F71" s="31">
        <f t="shared" si="24"/>
        <v>0</v>
      </c>
      <c r="G71" s="18">
        <f t="shared" si="25"/>
        <v>0</v>
      </c>
      <c r="H71" s="18">
        <f t="shared" si="26"/>
        <v>0</v>
      </c>
      <c r="I71" s="32">
        <f t="shared" si="27"/>
        <v>0</v>
      </c>
      <c r="J71" s="31" t="str">
        <f t="shared" si="28"/>
        <v>0</v>
      </c>
      <c r="K71" s="18" t="str">
        <f t="shared" si="29"/>
        <v>0</v>
      </c>
      <c r="L71" s="18" t="str">
        <f t="shared" si="30"/>
        <v>0</v>
      </c>
      <c r="M71" s="32" t="str">
        <f t="shared" si="31"/>
        <v>0</v>
      </c>
      <c r="N71" s="23" t="str">
        <f t="shared" si="33"/>
        <v/>
      </c>
      <c r="O71" s="18" t="str">
        <f t="shared" si="34"/>
        <v/>
      </c>
      <c r="P71" s="18" t="str">
        <f t="shared" si="35"/>
        <v/>
      </c>
      <c r="Q71" s="65" t="str">
        <f t="shared" si="36"/>
        <v/>
      </c>
      <c r="R71" s="2" t="str">
        <f t="shared" si="22"/>
        <v/>
      </c>
    </row>
    <row r="72" spans="1:18" ht="15" customHeight="1" x14ac:dyDescent="0.25">
      <c r="A72" s="47"/>
      <c r="B72" s="57" t="str">
        <f>Drive!C55</f>
        <v xml:space="preserve"> DEFAULT_UserNodeID</v>
      </c>
      <c r="C72" s="4" t="str">
        <f>Drive!B55</f>
        <v>3F914</v>
      </c>
      <c r="D72" s="113">
        <f>Drive!D55</f>
        <v>32</v>
      </c>
      <c r="E72" s="25" t="str">
        <f t="shared" si="37"/>
        <v>20</v>
      </c>
      <c r="F72" s="29">
        <f t="shared" ref="F72:F77" si="38">IF(D72 &gt;= 0,TRUNC(D72/(2^24)),TRUNC((D72 + 2^32)/(2^24)))</f>
        <v>0</v>
      </c>
      <c r="G72" s="19">
        <f t="shared" ref="G72:G77" si="39">IF(D72&gt;=0,TRUNC((D72-(F72*2^24))/(2^16)),TRUNC(((D72+2^32)-(F72*2^24))/(2^16)))</f>
        <v>0</v>
      </c>
      <c r="H72" s="19">
        <f t="shared" ref="H72:H77" si="40">IF(D72&gt;=0,TRUNC((D72-((F72*2^24)+(G72*2^16)))/2^8),TRUNC(((D72 + 2^32)-((F72*2^24)+(G72*2^16)))/2^8))</f>
        <v>0</v>
      </c>
      <c r="I72" s="30">
        <f t="shared" ref="I72:I77" si="41">IF(D72&gt;=0,TRUNC((D72-((F72*2^24)+(G72*2^16)+(H72*2^8)))),TRUNC(((D72+2^32)-((F72*2^24)+(G72*2^16)+(H72*2^8)))))</f>
        <v>32</v>
      </c>
      <c r="J72" s="29" t="str">
        <f t="shared" ref="J72:M77" si="42">DEC2HEX(F72)</f>
        <v>0</v>
      </c>
      <c r="K72" s="19" t="str">
        <f t="shared" si="42"/>
        <v>0</v>
      </c>
      <c r="L72" s="19" t="str">
        <f t="shared" si="42"/>
        <v>0</v>
      </c>
      <c r="M72" s="30" t="str">
        <f t="shared" si="42"/>
        <v>20</v>
      </c>
      <c r="N72" s="22" t="str">
        <f t="shared" si="33"/>
        <v/>
      </c>
      <c r="O72" s="19" t="str">
        <f t="shared" si="34"/>
        <v/>
      </c>
      <c r="P72" s="19" t="str">
        <f t="shared" si="35"/>
        <v/>
      </c>
      <c r="Q72" s="61" t="str">
        <f t="shared" si="36"/>
        <v xml:space="preserve"> </v>
      </c>
      <c r="R72" s="64" t="str">
        <f t="shared" si="22"/>
        <v xml:space="preserve"> </v>
      </c>
    </row>
    <row r="73" spans="1:18" ht="15" customHeight="1" x14ac:dyDescent="0.25">
      <c r="A73" s="48"/>
      <c r="B73" s="57" t="str">
        <f>Drive!C56</f>
        <v xml:space="preserve"> DEFAULT_UserBaudRate</v>
      </c>
      <c r="C73" s="4" t="str">
        <f>Drive!B56</f>
        <v>3F918</v>
      </c>
      <c r="D73" s="113">
        <f>Drive!D56</f>
        <v>250</v>
      </c>
      <c r="E73" s="21" t="str">
        <f t="shared" si="37"/>
        <v>FA</v>
      </c>
      <c r="F73" s="31">
        <f t="shared" si="38"/>
        <v>0</v>
      </c>
      <c r="G73" s="18">
        <f t="shared" si="39"/>
        <v>0</v>
      </c>
      <c r="H73" s="18">
        <f t="shared" si="40"/>
        <v>0</v>
      </c>
      <c r="I73" s="32">
        <f t="shared" si="41"/>
        <v>250</v>
      </c>
      <c r="J73" s="31" t="str">
        <f t="shared" si="42"/>
        <v>0</v>
      </c>
      <c r="K73" s="18" t="str">
        <f t="shared" si="42"/>
        <v>0</v>
      </c>
      <c r="L73" s="18" t="str">
        <f t="shared" si="42"/>
        <v>0</v>
      </c>
      <c r="M73" s="32" t="str">
        <f t="shared" si="42"/>
        <v>FA</v>
      </c>
      <c r="N73" s="23" t="str">
        <f t="shared" si="33"/>
        <v/>
      </c>
      <c r="O73" s="18" t="str">
        <f t="shared" si="34"/>
        <v/>
      </c>
      <c r="P73" s="18" t="str">
        <f t="shared" si="35"/>
        <v/>
      </c>
      <c r="Q73" s="65" t="str">
        <f t="shared" si="36"/>
        <v>ú</v>
      </c>
      <c r="R73" s="2" t="str">
        <f t="shared" si="22"/>
        <v>ú</v>
      </c>
    </row>
    <row r="74" spans="1:18" ht="15" customHeight="1" x14ac:dyDescent="0.25">
      <c r="A74" s="47"/>
      <c r="B74" s="57" t="str">
        <f>Drive!C57</f>
        <v xml:space="preserve"> DEFAULT_AutoOperationalMode</v>
      </c>
      <c r="C74" s="4" t="str">
        <f>Drive!B57</f>
        <v>3F91C</v>
      </c>
      <c r="D74" s="113">
        <f>Drive!D57</f>
        <v>0</v>
      </c>
      <c r="E74" s="25" t="str">
        <f t="shared" si="37"/>
        <v>0</v>
      </c>
      <c r="F74" s="29">
        <f t="shared" si="38"/>
        <v>0</v>
      </c>
      <c r="G74" s="19">
        <f t="shared" si="39"/>
        <v>0</v>
      </c>
      <c r="H74" s="19">
        <f t="shared" si="40"/>
        <v>0</v>
      </c>
      <c r="I74" s="30">
        <f t="shared" si="41"/>
        <v>0</v>
      </c>
      <c r="J74" s="29" t="str">
        <f t="shared" si="42"/>
        <v>0</v>
      </c>
      <c r="K74" s="19" t="str">
        <f t="shared" si="42"/>
        <v>0</v>
      </c>
      <c r="L74" s="19" t="str">
        <f t="shared" si="42"/>
        <v>0</v>
      </c>
      <c r="M74" s="30" t="str">
        <f t="shared" si="42"/>
        <v>0</v>
      </c>
      <c r="N74" s="22" t="str">
        <f t="shared" si="33"/>
        <v/>
      </c>
      <c r="O74" s="19" t="str">
        <f t="shared" si="34"/>
        <v/>
      </c>
      <c r="P74" s="19" t="str">
        <f t="shared" si="35"/>
        <v/>
      </c>
      <c r="Q74" s="61" t="str">
        <f t="shared" si="36"/>
        <v/>
      </c>
      <c r="R74" s="64" t="str">
        <f t="shared" si="22"/>
        <v/>
      </c>
    </row>
    <row r="75" spans="1:18" ht="15" customHeight="1" x14ac:dyDescent="0.25">
      <c r="A75" s="48"/>
      <c r="B75" s="57" t="str">
        <f>Drive!C58</f>
        <v xml:space="preserve"> DEFAULT_BootupMessage</v>
      </c>
      <c r="C75" s="4" t="str">
        <f>Drive!B58</f>
        <v>3F920</v>
      </c>
      <c r="D75" s="113">
        <f>Drive!D58</f>
        <v>0</v>
      </c>
      <c r="E75" s="21" t="str">
        <f t="shared" si="37"/>
        <v>0</v>
      </c>
      <c r="F75" s="31">
        <f t="shared" si="38"/>
        <v>0</v>
      </c>
      <c r="G75" s="18">
        <f t="shared" si="39"/>
        <v>0</v>
      </c>
      <c r="H75" s="18">
        <f t="shared" si="40"/>
        <v>0</v>
      </c>
      <c r="I75" s="32">
        <f t="shared" si="41"/>
        <v>0</v>
      </c>
      <c r="J75" s="31" t="str">
        <f t="shared" si="42"/>
        <v>0</v>
      </c>
      <c r="K75" s="18" t="str">
        <f t="shared" si="42"/>
        <v>0</v>
      </c>
      <c r="L75" s="18" t="str">
        <f t="shared" si="42"/>
        <v>0</v>
      </c>
      <c r="M75" s="32" t="str">
        <f t="shared" si="42"/>
        <v>0</v>
      </c>
      <c r="N75" s="23" t="str">
        <f t="shared" si="33"/>
        <v/>
      </c>
      <c r="O75" s="18" t="str">
        <f t="shared" si="34"/>
        <v/>
      </c>
      <c r="P75" s="18" t="str">
        <f t="shared" si="35"/>
        <v/>
      </c>
      <c r="Q75" s="65" t="str">
        <f t="shared" si="36"/>
        <v/>
      </c>
      <c r="R75" s="2" t="str">
        <f t="shared" si="22"/>
        <v/>
      </c>
    </row>
    <row r="76" spans="1:18" ht="15" customHeight="1" x14ac:dyDescent="0.25">
      <c r="A76" s="47"/>
      <c r="B76" s="56" t="str">
        <f>Drive!C59</f>
        <v>DEFAULT_enVoltageReferenceSelect</v>
      </c>
      <c r="C76" s="52" t="str">
        <f>Drive!B59</f>
        <v>3F924</v>
      </c>
      <c r="D76" s="22">
        <f>Drive!D59</f>
        <v>1</v>
      </c>
      <c r="E76" s="25" t="str">
        <f t="shared" si="37"/>
        <v>1</v>
      </c>
      <c r="F76" s="29">
        <f t="shared" si="38"/>
        <v>0</v>
      </c>
      <c r="G76" s="19">
        <f t="shared" si="39"/>
        <v>0</v>
      </c>
      <c r="H76" s="19">
        <f t="shared" si="40"/>
        <v>0</v>
      </c>
      <c r="I76" s="30">
        <f t="shared" si="41"/>
        <v>1</v>
      </c>
      <c r="J76" s="29" t="str">
        <f t="shared" si="42"/>
        <v>0</v>
      </c>
      <c r="K76" s="19" t="str">
        <f t="shared" si="42"/>
        <v>0</v>
      </c>
      <c r="L76" s="19" t="str">
        <f t="shared" si="42"/>
        <v>0</v>
      </c>
      <c r="M76" s="30" t="str">
        <f t="shared" si="42"/>
        <v>1</v>
      </c>
      <c r="N76" s="22" t="str">
        <f t="shared" si="33"/>
        <v/>
      </c>
      <c r="O76" s="19" t="str">
        <f t="shared" si="34"/>
        <v/>
      </c>
      <c r="P76" s="19" t="str">
        <f t="shared" si="35"/>
        <v/>
      </c>
      <c r="Q76" s="61" t="str">
        <f t="shared" si="36"/>
        <v>_x0001_</v>
      </c>
      <c r="R76" s="64" t="str">
        <f t="shared" si="22"/>
        <v>_x0001_</v>
      </c>
    </row>
    <row r="77" spans="1:18" x14ac:dyDescent="0.25">
      <c r="A77" s="48"/>
      <c r="B77" s="55" t="str">
        <f>Drive!C60</f>
        <v>DEFAULT_fFixedVoltageReferencemV</v>
      </c>
      <c r="C77" s="51" t="str">
        <f>Drive!B60</f>
        <v>3F928</v>
      </c>
      <c r="D77" s="23">
        <f>Drive!D60</f>
        <v>0</v>
      </c>
      <c r="E77" s="21" t="str">
        <f t="shared" si="37"/>
        <v>0</v>
      </c>
      <c r="F77" s="31">
        <f t="shared" si="38"/>
        <v>0</v>
      </c>
      <c r="G77" s="18">
        <f t="shared" si="39"/>
        <v>0</v>
      </c>
      <c r="H77" s="18">
        <f t="shared" si="40"/>
        <v>0</v>
      </c>
      <c r="I77" s="32">
        <f t="shared" si="41"/>
        <v>0</v>
      </c>
      <c r="J77" s="31" t="str">
        <f t="shared" si="42"/>
        <v>0</v>
      </c>
      <c r="K77" s="18" t="str">
        <f t="shared" si="42"/>
        <v>0</v>
      </c>
      <c r="L77" s="18" t="str">
        <f t="shared" si="42"/>
        <v>0</v>
      </c>
      <c r="M77" s="32" t="str">
        <f t="shared" si="42"/>
        <v>0</v>
      </c>
      <c r="N77" s="23" t="str">
        <f t="shared" si="33"/>
        <v/>
      </c>
      <c r="O77" s="18" t="str">
        <f t="shared" si="34"/>
        <v/>
      </c>
      <c r="P77" s="18" t="str">
        <f t="shared" si="35"/>
        <v/>
      </c>
      <c r="Q77" s="65" t="str">
        <f t="shared" si="36"/>
        <v/>
      </c>
      <c r="R77" s="2" t="str">
        <f t="shared" si="22"/>
        <v/>
      </c>
    </row>
    <row r="78" spans="1:18" x14ac:dyDescent="0.25">
      <c r="A78" s="47"/>
      <c r="B78" s="56" t="str">
        <f>Drive!C61</f>
        <v>DEFAULT_MaxStallRecoveryAttempts</v>
      </c>
      <c r="C78" s="52" t="str">
        <f>Drive!B61</f>
        <v>3F92C</v>
      </c>
      <c r="D78" s="22">
        <f>Drive!D61</f>
        <v>0</v>
      </c>
      <c r="E78" s="25" t="str">
        <f t="shared" si="37"/>
        <v>0</v>
      </c>
      <c r="F78" s="29">
        <f t="shared" ref="F78:F87" si="43">IF(D78 &gt;= 0,TRUNC(D78/(2^24)),TRUNC((D78 + 2^32)/(2^24)))</f>
        <v>0</v>
      </c>
      <c r="G78" s="19">
        <f t="shared" ref="G78:G87" si="44">IF(D78&gt;=0,TRUNC((D78-(F78*2^24))/(2^16)),TRUNC(((D78+2^32)-(F78*2^24))/(2^16)))</f>
        <v>0</v>
      </c>
      <c r="H78" s="19">
        <f t="shared" ref="H78:H87" si="45">IF(D78&gt;=0,TRUNC((D78-((F78*2^24)+(G78*2^16)))/2^8),TRUNC(((D78 + 2^32)-((F78*2^24)+(G78*2^16)))/2^8))</f>
        <v>0</v>
      </c>
      <c r="I78" s="30">
        <f t="shared" ref="I78:I87" si="46">IF(D78&gt;=0,TRUNC((D78-((F78*2^24)+(G78*2^16)+(H78*2^8)))),TRUNC(((D78+2^32)-((F78*2^24)+(G78*2^16)+(H78*2^8)))))</f>
        <v>0</v>
      </c>
      <c r="J78" s="29" t="str">
        <f t="shared" ref="J78:J87" si="47">DEC2HEX(F78)</f>
        <v>0</v>
      </c>
      <c r="K78" s="19" t="str">
        <f t="shared" ref="K78:K87" si="48">DEC2HEX(G78)</f>
        <v>0</v>
      </c>
      <c r="L78" s="19" t="str">
        <f t="shared" ref="L78:L87" si="49">DEC2HEX(H78)</f>
        <v>0</v>
      </c>
      <c r="M78" s="30" t="str">
        <f t="shared" ref="M78:M87" si="50">DEC2HEX(I78)</f>
        <v>0</v>
      </c>
      <c r="N78" s="22" t="str">
        <f t="shared" si="33"/>
        <v/>
      </c>
      <c r="O78" s="19" t="str">
        <f t="shared" si="34"/>
        <v/>
      </c>
      <c r="P78" s="19" t="str">
        <f t="shared" si="35"/>
        <v/>
      </c>
      <c r="Q78" s="61" t="str">
        <f t="shared" si="36"/>
        <v/>
      </c>
      <c r="R78" s="64" t="str">
        <f t="shared" si="22"/>
        <v/>
      </c>
    </row>
    <row r="79" spans="1:18" x14ac:dyDescent="0.25">
      <c r="A79" s="48"/>
      <c r="B79" s="55" t="str">
        <f>Drive!C62</f>
        <v>DEFAULT_PositionValidationServoThresholdmRev</v>
      </c>
      <c r="C79" s="51" t="str">
        <f>Drive!B62</f>
        <v>3F930</v>
      </c>
      <c r="D79" s="23">
        <f>Drive!D62</f>
        <v>0</v>
      </c>
      <c r="E79" s="21" t="str">
        <f t="shared" si="37"/>
        <v>0</v>
      </c>
      <c r="F79" s="31">
        <f t="shared" si="43"/>
        <v>0</v>
      </c>
      <c r="G79" s="18">
        <f t="shared" si="44"/>
        <v>0</v>
      </c>
      <c r="H79" s="18">
        <f t="shared" si="45"/>
        <v>0</v>
      </c>
      <c r="I79" s="32">
        <f t="shared" si="46"/>
        <v>0</v>
      </c>
      <c r="J79" s="31" t="str">
        <f t="shared" si="47"/>
        <v>0</v>
      </c>
      <c r="K79" s="18" t="str">
        <f t="shared" si="48"/>
        <v>0</v>
      </c>
      <c r="L79" s="18" t="str">
        <f t="shared" si="49"/>
        <v>0</v>
      </c>
      <c r="M79" s="32" t="str">
        <f t="shared" si="50"/>
        <v>0</v>
      </c>
      <c r="N79" s="23" t="str">
        <f t="shared" si="33"/>
        <v/>
      </c>
      <c r="O79" s="18" t="str">
        <f t="shared" si="34"/>
        <v/>
      </c>
      <c r="P79" s="18" t="str">
        <f t="shared" si="35"/>
        <v/>
      </c>
      <c r="Q79" s="65" t="str">
        <f t="shared" si="36"/>
        <v/>
      </c>
      <c r="R79" s="2" t="str">
        <f t="shared" si="22"/>
        <v/>
      </c>
    </row>
    <row r="80" spans="1:18" x14ac:dyDescent="0.25">
      <c r="A80" s="47"/>
      <c r="B80" s="56" t="str">
        <f>Drive!C63</f>
        <v>DEFAULT_PositionValidationServoTimeoutmSec</v>
      </c>
      <c r="C80" s="52" t="str">
        <f>Drive!B63</f>
        <v>3F934</v>
      </c>
      <c r="D80" s="22">
        <f>Drive!D63</f>
        <v>0</v>
      </c>
      <c r="E80" s="25" t="str">
        <f t="shared" si="37"/>
        <v>0</v>
      </c>
      <c r="F80" s="29">
        <f t="shared" si="43"/>
        <v>0</v>
      </c>
      <c r="G80" s="19">
        <f t="shared" si="44"/>
        <v>0</v>
      </c>
      <c r="H80" s="19">
        <f t="shared" si="45"/>
        <v>0</v>
      </c>
      <c r="I80" s="30">
        <f t="shared" si="46"/>
        <v>0</v>
      </c>
      <c r="J80" s="29" t="str">
        <f t="shared" si="47"/>
        <v>0</v>
      </c>
      <c r="K80" s="19" t="str">
        <f t="shared" si="48"/>
        <v>0</v>
      </c>
      <c r="L80" s="19" t="str">
        <f t="shared" si="49"/>
        <v>0</v>
      </c>
      <c r="M80" s="30" t="str">
        <f t="shared" si="50"/>
        <v>0</v>
      </c>
      <c r="N80" s="22" t="str">
        <f t="shared" si="33"/>
        <v/>
      </c>
      <c r="O80" s="19" t="str">
        <f t="shared" si="34"/>
        <v/>
      </c>
      <c r="P80" s="19" t="str">
        <f t="shared" si="35"/>
        <v/>
      </c>
      <c r="Q80" s="61" t="str">
        <f t="shared" si="36"/>
        <v/>
      </c>
      <c r="R80" s="64" t="str">
        <f t="shared" si="22"/>
        <v/>
      </c>
    </row>
    <row r="81" spans="1:18" x14ac:dyDescent="0.25">
      <c r="A81" s="48"/>
      <c r="B81" s="55" t="str">
        <f>Drive!C64</f>
        <v>DEFAULT_LogicInputInterruptAssignmentBitPacked</v>
      </c>
      <c r="C81" s="51" t="str">
        <f>Drive!B64</f>
        <v>3F938</v>
      </c>
      <c r="D81" s="23">
        <f>Drive!D64</f>
        <v>0</v>
      </c>
      <c r="E81" s="21" t="str">
        <f t="shared" si="37"/>
        <v>0</v>
      </c>
      <c r="F81" s="31">
        <f t="shared" si="43"/>
        <v>0</v>
      </c>
      <c r="G81" s="18">
        <f t="shared" si="44"/>
        <v>0</v>
      </c>
      <c r="H81" s="18">
        <f t="shared" si="45"/>
        <v>0</v>
      </c>
      <c r="I81" s="32">
        <f t="shared" si="46"/>
        <v>0</v>
      </c>
      <c r="J81" s="31" t="str">
        <f t="shared" si="47"/>
        <v>0</v>
      </c>
      <c r="K81" s="18" t="str">
        <f t="shared" si="48"/>
        <v>0</v>
      </c>
      <c r="L81" s="18" t="str">
        <f t="shared" si="49"/>
        <v>0</v>
      </c>
      <c r="M81" s="32" t="str">
        <f t="shared" si="50"/>
        <v>0</v>
      </c>
      <c r="N81" s="23" t="str">
        <f t="shared" si="33"/>
        <v/>
      </c>
      <c r="O81" s="18" t="str">
        <f t="shared" si="34"/>
        <v/>
      </c>
      <c r="P81" s="18" t="str">
        <f t="shared" si="35"/>
        <v/>
      </c>
      <c r="Q81" s="65" t="str">
        <f t="shared" si="36"/>
        <v/>
      </c>
      <c r="R81" s="2" t="str">
        <f t="shared" si="22"/>
        <v/>
      </c>
    </row>
    <row r="82" spans="1:18" x14ac:dyDescent="0.25">
      <c r="A82" s="47"/>
      <c r="B82" s="56" t="str">
        <f>Drive!C65</f>
        <v>DEFAULT_VelocityUnitScalingNumerator</v>
      </c>
      <c r="C82" s="52" t="str">
        <f>Drive!B65</f>
        <v>3F93C</v>
      </c>
      <c r="D82" s="22">
        <f>Drive!D65</f>
        <v>1</v>
      </c>
      <c r="E82" s="25" t="str">
        <f t="shared" si="37"/>
        <v>1</v>
      </c>
      <c r="F82" s="29">
        <f t="shared" si="43"/>
        <v>0</v>
      </c>
      <c r="G82" s="19">
        <f t="shared" si="44"/>
        <v>0</v>
      </c>
      <c r="H82" s="19">
        <f t="shared" si="45"/>
        <v>0</v>
      </c>
      <c r="I82" s="30">
        <f t="shared" si="46"/>
        <v>1</v>
      </c>
      <c r="J82" s="29" t="str">
        <f t="shared" si="47"/>
        <v>0</v>
      </c>
      <c r="K82" s="19" t="str">
        <f t="shared" si="48"/>
        <v>0</v>
      </c>
      <c r="L82" s="19" t="str">
        <f t="shared" si="49"/>
        <v>0</v>
      </c>
      <c r="M82" s="30" t="str">
        <f t="shared" si="50"/>
        <v>1</v>
      </c>
      <c r="N82" s="22" t="str">
        <f t="shared" si="33"/>
        <v/>
      </c>
      <c r="O82" s="19" t="str">
        <f t="shared" si="34"/>
        <v/>
      </c>
      <c r="P82" s="19" t="str">
        <f t="shared" si="35"/>
        <v/>
      </c>
      <c r="Q82" s="61" t="str">
        <f t="shared" si="36"/>
        <v>_x0001_</v>
      </c>
      <c r="R82" s="64" t="str">
        <f t="shared" si="22"/>
        <v>_x0001_</v>
      </c>
    </row>
    <row r="83" spans="1:18" x14ac:dyDescent="0.25">
      <c r="A83" s="48"/>
      <c r="B83" s="55" t="str">
        <f>Drive!C66</f>
        <v>DEFAULT_VelocityUnitScalingDenominator</v>
      </c>
      <c r="C83" s="51" t="str">
        <f>Drive!B66</f>
        <v>3F940</v>
      </c>
      <c r="D83" s="23">
        <f>Drive!D66</f>
        <v>60</v>
      </c>
      <c r="E83" s="21" t="str">
        <f t="shared" si="37"/>
        <v>3C</v>
      </c>
      <c r="F83" s="31">
        <f t="shared" si="43"/>
        <v>0</v>
      </c>
      <c r="G83" s="18">
        <f t="shared" si="44"/>
        <v>0</v>
      </c>
      <c r="H83" s="18">
        <f t="shared" si="45"/>
        <v>0</v>
      </c>
      <c r="I83" s="32">
        <f t="shared" si="46"/>
        <v>60</v>
      </c>
      <c r="J83" s="31" t="str">
        <f t="shared" si="47"/>
        <v>0</v>
      </c>
      <c r="K83" s="18" t="str">
        <f t="shared" si="48"/>
        <v>0</v>
      </c>
      <c r="L83" s="18" t="str">
        <f t="shared" si="49"/>
        <v>0</v>
      </c>
      <c r="M83" s="32" t="str">
        <f t="shared" si="50"/>
        <v>3C</v>
      </c>
      <c r="N83" s="23" t="str">
        <f t="shared" si="33"/>
        <v/>
      </c>
      <c r="O83" s="18" t="str">
        <f t="shared" si="34"/>
        <v/>
      </c>
      <c r="P83" s="18" t="str">
        <f t="shared" si="35"/>
        <v/>
      </c>
      <c r="Q83" s="65" t="str">
        <f t="shared" si="36"/>
        <v>&lt;</v>
      </c>
      <c r="R83" s="2" t="str">
        <f t="shared" si="22"/>
        <v>&lt;</v>
      </c>
    </row>
    <row r="84" spans="1:18" x14ac:dyDescent="0.25">
      <c r="A84" s="47"/>
      <c r="B84" s="56" t="str">
        <f>Drive!C67</f>
        <v>DEFAULT_PositionUnitScalingNumerator</v>
      </c>
      <c r="C84" s="52" t="str">
        <f>Drive!B67</f>
        <v>3F944</v>
      </c>
      <c r="D84" s="22">
        <f>Drive!D67</f>
        <v>1</v>
      </c>
      <c r="E84" s="25" t="str">
        <f t="shared" si="37"/>
        <v>1</v>
      </c>
      <c r="F84" s="29">
        <f t="shared" si="43"/>
        <v>0</v>
      </c>
      <c r="G84" s="19">
        <f t="shared" si="44"/>
        <v>0</v>
      </c>
      <c r="H84" s="19">
        <f t="shared" si="45"/>
        <v>0</v>
      </c>
      <c r="I84" s="30">
        <f t="shared" si="46"/>
        <v>1</v>
      </c>
      <c r="J84" s="29" t="str">
        <f t="shared" si="47"/>
        <v>0</v>
      </c>
      <c r="K84" s="19" t="str">
        <f t="shared" si="48"/>
        <v>0</v>
      </c>
      <c r="L84" s="19" t="str">
        <f t="shared" si="49"/>
        <v>0</v>
      </c>
      <c r="M84" s="30" t="str">
        <f t="shared" si="50"/>
        <v>1</v>
      </c>
      <c r="N84" s="22" t="str">
        <f t="shared" si="33"/>
        <v/>
      </c>
      <c r="O84" s="19" t="str">
        <f t="shared" si="34"/>
        <v/>
      </c>
      <c r="P84" s="19" t="str">
        <f t="shared" si="35"/>
        <v/>
      </c>
      <c r="Q84" s="61" t="str">
        <f t="shared" si="36"/>
        <v>_x0001_</v>
      </c>
      <c r="R84" s="64" t="str">
        <f t="shared" si="22"/>
        <v>_x0001_</v>
      </c>
    </row>
    <row r="85" spans="1:18" x14ac:dyDescent="0.25">
      <c r="A85" s="48"/>
      <c r="B85" s="55" t="str">
        <f>Drive!C68</f>
        <v>DEFAULT_PositionUnitScalingDenominator</v>
      </c>
      <c r="C85" s="51" t="str">
        <f>Drive!B68</f>
        <v>3F948</v>
      </c>
      <c r="D85" s="23">
        <f>Drive!D68</f>
        <v>1</v>
      </c>
      <c r="E85" s="21" t="str">
        <f t="shared" si="37"/>
        <v>1</v>
      </c>
      <c r="F85" s="31">
        <f t="shared" si="43"/>
        <v>0</v>
      </c>
      <c r="G85" s="18">
        <f t="shared" si="44"/>
        <v>0</v>
      </c>
      <c r="H85" s="18">
        <f t="shared" si="45"/>
        <v>0</v>
      </c>
      <c r="I85" s="32">
        <f t="shared" si="46"/>
        <v>1</v>
      </c>
      <c r="J85" s="31" t="str">
        <f t="shared" si="47"/>
        <v>0</v>
      </c>
      <c r="K85" s="18" t="str">
        <f t="shared" si="48"/>
        <v>0</v>
      </c>
      <c r="L85" s="18" t="str">
        <f t="shared" si="49"/>
        <v>0</v>
      </c>
      <c r="M85" s="32" t="str">
        <f t="shared" si="50"/>
        <v>1</v>
      </c>
      <c r="N85" s="23" t="str">
        <f t="shared" si="33"/>
        <v/>
      </c>
      <c r="O85" s="18" t="str">
        <f t="shared" si="34"/>
        <v/>
      </c>
      <c r="P85" s="18" t="str">
        <f t="shared" si="35"/>
        <v/>
      </c>
      <c r="Q85" s="65" t="str">
        <f t="shared" si="36"/>
        <v>_x0001_</v>
      </c>
      <c r="R85" s="2" t="str">
        <f t="shared" ref="R85:R140" si="51">_xlfn.CONCAT(N85,O85,P85,Q85)</f>
        <v>_x0001_</v>
      </c>
    </row>
    <row r="86" spans="1:18" x14ac:dyDescent="0.25">
      <c r="A86" s="47"/>
      <c r="B86" s="56" t="str">
        <f>Drive!C69</f>
        <v>DEFAULT_AccelUnitScalingNumerator</v>
      </c>
      <c r="C86" s="52" t="str">
        <f>Drive!B69</f>
        <v>3F94C</v>
      </c>
      <c r="D86" s="22">
        <f>Drive!D69</f>
        <v>1</v>
      </c>
      <c r="E86" s="25" t="str">
        <f t="shared" si="37"/>
        <v>1</v>
      </c>
      <c r="F86" s="29">
        <f t="shared" si="43"/>
        <v>0</v>
      </c>
      <c r="G86" s="19">
        <f t="shared" si="44"/>
        <v>0</v>
      </c>
      <c r="H86" s="19">
        <f t="shared" si="45"/>
        <v>0</v>
      </c>
      <c r="I86" s="30">
        <f t="shared" si="46"/>
        <v>1</v>
      </c>
      <c r="J86" s="29" t="str">
        <f t="shared" si="47"/>
        <v>0</v>
      </c>
      <c r="K86" s="19" t="str">
        <f t="shared" si="48"/>
        <v>0</v>
      </c>
      <c r="L86" s="19" t="str">
        <f t="shared" si="49"/>
        <v>0</v>
      </c>
      <c r="M86" s="30" t="str">
        <f t="shared" si="50"/>
        <v>1</v>
      </c>
      <c r="N86" s="22" t="str">
        <f t="shared" si="33"/>
        <v/>
      </c>
      <c r="O86" s="19" t="str">
        <f t="shared" ref="O86:O138" si="52">IF(G86&lt;&gt;0,CHAR(G86),"")</f>
        <v/>
      </c>
      <c r="P86" s="19" t="str">
        <f t="shared" ref="P86:P138" si="53">IF(H86&lt;&gt;0,CHAR(H86),"")</f>
        <v/>
      </c>
      <c r="Q86" s="61" t="str">
        <f t="shared" ref="Q86:Q138" si="54">IF(I86&lt;&gt;0,CHAR(I86),"")</f>
        <v>_x0001_</v>
      </c>
      <c r="R86" s="64" t="str">
        <f t="shared" si="51"/>
        <v>_x0001_</v>
      </c>
    </row>
    <row r="87" spans="1:18" x14ac:dyDescent="0.25">
      <c r="A87" s="48"/>
      <c r="B87" s="55" t="str">
        <f>Drive!C70</f>
        <v>DEFAULT_AccelUnitScalingDenominator</v>
      </c>
      <c r="C87" s="51" t="str">
        <f>Drive!B70</f>
        <v>3F950</v>
      </c>
      <c r="D87" s="23">
        <f>Drive!D70</f>
        <v>60</v>
      </c>
      <c r="E87" s="21" t="str">
        <f t="shared" si="37"/>
        <v>3C</v>
      </c>
      <c r="F87" s="31">
        <f t="shared" si="43"/>
        <v>0</v>
      </c>
      <c r="G87" s="18">
        <f t="shared" si="44"/>
        <v>0</v>
      </c>
      <c r="H87" s="18">
        <f t="shared" si="45"/>
        <v>0</v>
      </c>
      <c r="I87" s="32">
        <f t="shared" si="46"/>
        <v>60</v>
      </c>
      <c r="J87" s="31" t="str">
        <f t="shared" si="47"/>
        <v>0</v>
      </c>
      <c r="K87" s="18" t="str">
        <f t="shared" si="48"/>
        <v>0</v>
      </c>
      <c r="L87" s="18" t="str">
        <f t="shared" si="49"/>
        <v>0</v>
      </c>
      <c r="M87" s="32" t="str">
        <f t="shared" si="50"/>
        <v>3C</v>
      </c>
      <c r="N87" s="23" t="str">
        <f t="shared" ref="N87:N138" si="55">IF(F87&lt;&gt;0,CHAR(F87),"")</f>
        <v/>
      </c>
      <c r="O87" s="18" t="str">
        <f t="shared" si="52"/>
        <v/>
      </c>
      <c r="P87" s="18" t="str">
        <f t="shared" si="53"/>
        <v/>
      </c>
      <c r="Q87" s="65" t="str">
        <f t="shared" si="54"/>
        <v>&lt;</v>
      </c>
      <c r="R87" s="2" t="str">
        <f t="shared" si="51"/>
        <v>&lt;</v>
      </c>
    </row>
    <row r="88" spans="1:18" x14ac:dyDescent="0.25">
      <c r="A88" s="47"/>
      <c r="B88" s="56" t="str">
        <f>Drive!C71</f>
        <v>DEFAULT_RESERVED_DRIVE</v>
      </c>
      <c r="C88" s="52" t="str">
        <f>Drive!B71</f>
        <v>3F954</v>
      </c>
      <c r="D88" s="22">
        <f>Drive!D71</f>
        <v>4294967295</v>
      </c>
      <c r="E88" s="25" t="str">
        <f t="shared" si="37"/>
        <v>FFFFFFFF</v>
      </c>
      <c r="F88" s="29">
        <f t="shared" ref="F88:F107" si="56">IF(D88 &gt;= 0,TRUNC(D88/(2^24)),TRUNC((D88 + 2^32)/(2^24)))</f>
        <v>255</v>
      </c>
      <c r="G88" s="19">
        <f t="shared" ref="G88:G107" si="57">IF(D88&gt;=0,TRUNC((D88-(F88*2^24))/(2^16)),TRUNC(((D88+2^32)-(F88*2^24))/(2^16)))</f>
        <v>255</v>
      </c>
      <c r="H88" s="19">
        <f t="shared" ref="H88:H107" si="58">IF(D88&gt;=0,TRUNC((D88-((F88*2^24)+(G88*2^16)))/2^8),TRUNC(((D88 + 2^32)-((F88*2^24)+(G88*2^16)))/2^8))</f>
        <v>255</v>
      </c>
      <c r="I88" s="30">
        <f t="shared" ref="I88:I107" si="59">IF(D88&gt;=0,TRUNC((D88-((F88*2^24)+(G88*2^16)+(H88*2^8)))),TRUNC(((D88+2^32)-((F88*2^24)+(G88*2^16)+(H88*2^8)))))</f>
        <v>255</v>
      </c>
      <c r="J88" s="29" t="str">
        <f t="shared" ref="J88:J107" si="60">DEC2HEX(F88)</f>
        <v>FF</v>
      </c>
      <c r="K88" s="19" t="str">
        <f t="shared" ref="K88:K107" si="61">DEC2HEX(G88)</f>
        <v>FF</v>
      </c>
      <c r="L88" s="19" t="str">
        <f t="shared" ref="L88:L107" si="62">DEC2HEX(H88)</f>
        <v>FF</v>
      </c>
      <c r="M88" s="30" t="str">
        <f t="shared" ref="M88:M107" si="63">DEC2HEX(I88)</f>
        <v>FF</v>
      </c>
      <c r="N88" s="22" t="str">
        <f t="shared" si="55"/>
        <v>ÿ</v>
      </c>
      <c r="O88" s="19" t="str">
        <f t="shared" si="52"/>
        <v>ÿ</v>
      </c>
      <c r="P88" s="19" t="str">
        <f t="shared" si="53"/>
        <v>ÿ</v>
      </c>
      <c r="Q88" s="61" t="str">
        <f t="shared" si="54"/>
        <v>ÿ</v>
      </c>
      <c r="R88" s="64" t="str">
        <f t="shared" si="51"/>
        <v>ÿÿÿÿ</v>
      </c>
    </row>
    <row r="89" spans="1:18" x14ac:dyDescent="0.25">
      <c r="A89" s="48"/>
      <c r="B89" s="55" t="str">
        <f>Drive!C72</f>
        <v>DEFAULT_RESERVED_DRIVE</v>
      </c>
      <c r="C89" s="51" t="str">
        <f>Drive!B72</f>
        <v>3F958</v>
      </c>
      <c r="D89" s="23">
        <f>Drive!D72</f>
        <v>4294967295</v>
      </c>
      <c r="E89" s="21" t="str">
        <f t="shared" si="37"/>
        <v>FFFFFFFF</v>
      </c>
      <c r="F89" s="31">
        <f t="shared" si="56"/>
        <v>255</v>
      </c>
      <c r="G89" s="18">
        <f t="shared" si="57"/>
        <v>255</v>
      </c>
      <c r="H89" s="18">
        <f t="shared" si="58"/>
        <v>255</v>
      </c>
      <c r="I89" s="32">
        <f t="shared" si="59"/>
        <v>255</v>
      </c>
      <c r="J89" s="31" t="str">
        <f t="shared" si="60"/>
        <v>FF</v>
      </c>
      <c r="K89" s="18" t="str">
        <f t="shared" si="61"/>
        <v>FF</v>
      </c>
      <c r="L89" s="18" t="str">
        <f t="shared" si="62"/>
        <v>FF</v>
      </c>
      <c r="M89" s="32" t="str">
        <f t="shared" si="63"/>
        <v>FF</v>
      </c>
      <c r="N89" s="23" t="str">
        <f t="shared" si="55"/>
        <v>ÿ</v>
      </c>
      <c r="O89" s="18" t="str">
        <f t="shared" si="52"/>
        <v>ÿ</v>
      </c>
      <c r="P89" s="18" t="str">
        <f t="shared" si="53"/>
        <v>ÿ</v>
      </c>
      <c r="Q89" s="65" t="str">
        <f t="shared" si="54"/>
        <v>ÿ</v>
      </c>
      <c r="R89" s="2" t="str">
        <f t="shared" si="51"/>
        <v>ÿÿÿÿ</v>
      </c>
    </row>
    <row r="90" spans="1:18" x14ac:dyDescent="0.25">
      <c r="A90" s="47"/>
      <c r="B90" s="56" t="str">
        <f>Drive!C73</f>
        <v>DEFAULT_RESERVED_DRIVE</v>
      </c>
      <c r="C90" s="52" t="str">
        <f>Drive!B73</f>
        <v>3F95C</v>
      </c>
      <c r="D90" s="22">
        <f>Drive!D73</f>
        <v>4294967295</v>
      </c>
      <c r="E90" s="25" t="str">
        <f t="shared" si="37"/>
        <v>FFFFFFFF</v>
      </c>
      <c r="F90" s="29">
        <f t="shared" si="56"/>
        <v>255</v>
      </c>
      <c r="G90" s="19">
        <f t="shared" si="57"/>
        <v>255</v>
      </c>
      <c r="H90" s="19">
        <f t="shared" si="58"/>
        <v>255</v>
      </c>
      <c r="I90" s="30">
        <f t="shared" si="59"/>
        <v>255</v>
      </c>
      <c r="J90" s="29" t="str">
        <f t="shared" si="60"/>
        <v>FF</v>
      </c>
      <c r="K90" s="19" t="str">
        <f t="shared" si="61"/>
        <v>FF</v>
      </c>
      <c r="L90" s="19" t="str">
        <f t="shared" si="62"/>
        <v>FF</v>
      </c>
      <c r="M90" s="30" t="str">
        <f t="shared" si="63"/>
        <v>FF</v>
      </c>
      <c r="N90" s="22" t="str">
        <f t="shared" si="55"/>
        <v>ÿ</v>
      </c>
      <c r="O90" s="19" t="str">
        <f t="shared" si="52"/>
        <v>ÿ</v>
      </c>
      <c r="P90" s="19" t="str">
        <f t="shared" si="53"/>
        <v>ÿ</v>
      </c>
      <c r="Q90" s="61" t="str">
        <f t="shared" si="54"/>
        <v>ÿ</v>
      </c>
      <c r="R90" s="64" t="str">
        <f t="shared" si="51"/>
        <v>ÿÿÿÿ</v>
      </c>
    </row>
    <row r="91" spans="1:18" x14ac:dyDescent="0.25">
      <c r="A91" s="48"/>
      <c r="B91" s="55" t="str">
        <f>Drive!C74</f>
        <v>DEFAULT_RESERVED_DRIVE</v>
      </c>
      <c r="C91" s="51" t="str">
        <f>Drive!B74</f>
        <v>3F960</v>
      </c>
      <c r="D91" s="23">
        <f>Drive!D74</f>
        <v>4294967295</v>
      </c>
      <c r="E91" s="21" t="str">
        <f t="shared" si="37"/>
        <v>FFFFFFFF</v>
      </c>
      <c r="F91" s="31">
        <f t="shared" si="56"/>
        <v>255</v>
      </c>
      <c r="G91" s="18">
        <f t="shared" si="57"/>
        <v>255</v>
      </c>
      <c r="H91" s="18">
        <f t="shared" si="58"/>
        <v>255</v>
      </c>
      <c r="I91" s="32">
        <f t="shared" si="59"/>
        <v>255</v>
      </c>
      <c r="J91" s="31" t="str">
        <f t="shared" si="60"/>
        <v>FF</v>
      </c>
      <c r="K91" s="18" t="str">
        <f t="shared" si="61"/>
        <v>FF</v>
      </c>
      <c r="L91" s="18" t="str">
        <f t="shared" si="62"/>
        <v>FF</v>
      </c>
      <c r="M91" s="32" t="str">
        <f t="shared" si="63"/>
        <v>FF</v>
      </c>
      <c r="N91" s="23" t="str">
        <f t="shared" si="55"/>
        <v>ÿ</v>
      </c>
      <c r="O91" s="18" t="str">
        <f t="shared" si="52"/>
        <v>ÿ</v>
      </c>
      <c r="P91" s="18" t="str">
        <f t="shared" si="53"/>
        <v>ÿ</v>
      </c>
      <c r="Q91" s="65" t="str">
        <f t="shared" si="54"/>
        <v>ÿ</v>
      </c>
      <c r="R91" s="2" t="str">
        <f t="shared" si="51"/>
        <v>ÿÿÿÿ</v>
      </c>
    </row>
    <row r="92" spans="1:18" x14ac:dyDescent="0.25">
      <c r="A92" s="47"/>
      <c r="B92" s="56" t="str">
        <f>Drive!C75</f>
        <v>DEFAULT_RESERVED_DRIVE</v>
      </c>
      <c r="C92" s="52" t="str">
        <f>Drive!B75</f>
        <v>3F964</v>
      </c>
      <c r="D92" s="22">
        <f>Drive!D75</f>
        <v>4294967295</v>
      </c>
      <c r="E92" s="25" t="str">
        <f t="shared" si="37"/>
        <v>FFFFFFFF</v>
      </c>
      <c r="F92" s="29">
        <f t="shared" si="56"/>
        <v>255</v>
      </c>
      <c r="G92" s="19">
        <f t="shared" si="57"/>
        <v>255</v>
      </c>
      <c r="H92" s="19">
        <f t="shared" si="58"/>
        <v>255</v>
      </c>
      <c r="I92" s="30">
        <f t="shared" si="59"/>
        <v>255</v>
      </c>
      <c r="J92" s="29" t="str">
        <f t="shared" si="60"/>
        <v>FF</v>
      </c>
      <c r="K92" s="19" t="str">
        <f t="shared" si="61"/>
        <v>FF</v>
      </c>
      <c r="L92" s="19" t="str">
        <f t="shared" si="62"/>
        <v>FF</v>
      </c>
      <c r="M92" s="30" t="str">
        <f t="shared" si="63"/>
        <v>FF</v>
      </c>
      <c r="N92" s="22" t="str">
        <f t="shared" si="55"/>
        <v>ÿ</v>
      </c>
      <c r="O92" s="19" t="str">
        <f t="shared" si="52"/>
        <v>ÿ</v>
      </c>
      <c r="P92" s="19" t="str">
        <f t="shared" si="53"/>
        <v>ÿ</v>
      </c>
      <c r="Q92" s="61" t="str">
        <f t="shared" si="54"/>
        <v>ÿ</v>
      </c>
      <c r="R92" s="64" t="str">
        <f t="shared" si="51"/>
        <v>ÿÿÿÿ</v>
      </c>
    </row>
    <row r="93" spans="1:18" x14ac:dyDescent="0.25">
      <c r="A93" s="48"/>
      <c r="B93" s="55" t="str">
        <f>Drive!C76</f>
        <v>DEFAULT_RESERVED_DRIVE</v>
      </c>
      <c r="C93" s="51" t="str">
        <f>Drive!B76</f>
        <v>3F968</v>
      </c>
      <c r="D93" s="23">
        <f>Drive!D76</f>
        <v>4294967295</v>
      </c>
      <c r="E93" s="21" t="str">
        <f t="shared" si="37"/>
        <v>FFFFFFFF</v>
      </c>
      <c r="F93" s="31">
        <f t="shared" si="56"/>
        <v>255</v>
      </c>
      <c r="G93" s="18">
        <f t="shared" si="57"/>
        <v>255</v>
      </c>
      <c r="H93" s="18">
        <f t="shared" si="58"/>
        <v>255</v>
      </c>
      <c r="I93" s="32">
        <f t="shared" si="59"/>
        <v>255</v>
      </c>
      <c r="J93" s="31" t="str">
        <f t="shared" si="60"/>
        <v>FF</v>
      </c>
      <c r="K93" s="18" t="str">
        <f t="shared" si="61"/>
        <v>FF</v>
      </c>
      <c r="L93" s="18" t="str">
        <f t="shared" si="62"/>
        <v>FF</v>
      </c>
      <c r="M93" s="32" t="str">
        <f t="shared" si="63"/>
        <v>FF</v>
      </c>
      <c r="N93" s="23" t="str">
        <f t="shared" si="55"/>
        <v>ÿ</v>
      </c>
      <c r="O93" s="18" t="str">
        <f t="shared" si="52"/>
        <v>ÿ</v>
      </c>
      <c r="P93" s="18" t="str">
        <f t="shared" si="53"/>
        <v>ÿ</v>
      </c>
      <c r="Q93" s="65" t="str">
        <f t="shared" si="54"/>
        <v>ÿ</v>
      </c>
      <c r="R93" s="2" t="str">
        <f t="shared" si="51"/>
        <v>ÿÿÿÿ</v>
      </c>
    </row>
    <row r="94" spans="1:18" x14ac:dyDescent="0.25">
      <c r="A94" s="47"/>
      <c r="B94" s="56" t="str">
        <f>Drive!C77</f>
        <v>DEFAULT_RESERVED_DRIVE</v>
      </c>
      <c r="C94" s="52" t="str">
        <f>Drive!B77</f>
        <v>3F96C</v>
      </c>
      <c r="D94" s="22">
        <f>Drive!D77</f>
        <v>4294967295</v>
      </c>
      <c r="E94" s="25" t="str">
        <f t="shared" si="37"/>
        <v>FFFFFFFF</v>
      </c>
      <c r="F94" s="29">
        <f t="shared" si="56"/>
        <v>255</v>
      </c>
      <c r="G94" s="19">
        <f t="shared" si="57"/>
        <v>255</v>
      </c>
      <c r="H94" s="19">
        <f t="shared" si="58"/>
        <v>255</v>
      </c>
      <c r="I94" s="30">
        <f t="shared" si="59"/>
        <v>255</v>
      </c>
      <c r="J94" s="29" t="str">
        <f t="shared" si="60"/>
        <v>FF</v>
      </c>
      <c r="K94" s="19" t="str">
        <f t="shared" si="61"/>
        <v>FF</v>
      </c>
      <c r="L94" s="19" t="str">
        <f t="shared" si="62"/>
        <v>FF</v>
      </c>
      <c r="M94" s="30" t="str">
        <f t="shared" si="63"/>
        <v>FF</v>
      </c>
      <c r="N94" s="22" t="str">
        <f t="shared" si="55"/>
        <v>ÿ</v>
      </c>
      <c r="O94" s="19" t="str">
        <f t="shared" si="52"/>
        <v>ÿ</v>
      </c>
      <c r="P94" s="19" t="str">
        <f t="shared" si="53"/>
        <v>ÿ</v>
      </c>
      <c r="Q94" s="61" t="str">
        <f t="shared" si="54"/>
        <v>ÿ</v>
      </c>
      <c r="R94" s="64" t="str">
        <f t="shared" si="51"/>
        <v>ÿÿÿÿ</v>
      </c>
    </row>
    <row r="95" spans="1:18" x14ac:dyDescent="0.25">
      <c r="A95" s="48"/>
      <c r="B95" s="55" t="str">
        <f>Drive!C78</f>
        <v>DEFAULT_RESERVED_DRIVE</v>
      </c>
      <c r="C95" s="51" t="str">
        <f>Drive!B78</f>
        <v>3F970</v>
      </c>
      <c r="D95" s="23">
        <f>Drive!D78</f>
        <v>4294967295</v>
      </c>
      <c r="E95" s="21" t="str">
        <f t="shared" si="37"/>
        <v>FFFFFFFF</v>
      </c>
      <c r="F95" s="31">
        <f t="shared" si="56"/>
        <v>255</v>
      </c>
      <c r="G95" s="18">
        <f t="shared" si="57"/>
        <v>255</v>
      </c>
      <c r="H95" s="18">
        <f t="shared" si="58"/>
        <v>255</v>
      </c>
      <c r="I95" s="32">
        <f t="shared" si="59"/>
        <v>255</v>
      </c>
      <c r="J95" s="31" t="str">
        <f t="shared" si="60"/>
        <v>FF</v>
      </c>
      <c r="K95" s="18" t="str">
        <f t="shared" si="61"/>
        <v>FF</v>
      </c>
      <c r="L95" s="18" t="str">
        <f t="shared" si="62"/>
        <v>FF</v>
      </c>
      <c r="M95" s="32" t="str">
        <f t="shared" si="63"/>
        <v>FF</v>
      </c>
      <c r="N95" s="23" t="str">
        <f t="shared" si="55"/>
        <v>ÿ</v>
      </c>
      <c r="O95" s="18" t="str">
        <f t="shared" si="52"/>
        <v>ÿ</v>
      </c>
      <c r="P95" s="18" t="str">
        <f t="shared" si="53"/>
        <v>ÿ</v>
      </c>
      <c r="Q95" s="65" t="str">
        <f t="shared" si="54"/>
        <v>ÿ</v>
      </c>
      <c r="R95" s="2" t="str">
        <f t="shared" si="51"/>
        <v>ÿÿÿÿ</v>
      </c>
    </row>
    <row r="96" spans="1:18" x14ac:dyDescent="0.25">
      <c r="A96" s="47"/>
      <c r="B96" s="56" t="str">
        <f>Drive!C79</f>
        <v>DEFAULT_RESERVED_DRIVE</v>
      </c>
      <c r="C96" s="52" t="str">
        <f>Drive!B79</f>
        <v>3F974</v>
      </c>
      <c r="D96" s="22">
        <f>Drive!D79</f>
        <v>4294967295</v>
      </c>
      <c r="E96" s="25" t="str">
        <f t="shared" si="37"/>
        <v>FFFFFFFF</v>
      </c>
      <c r="F96" s="29">
        <f t="shared" si="56"/>
        <v>255</v>
      </c>
      <c r="G96" s="19">
        <f t="shared" si="57"/>
        <v>255</v>
      </c>
      <c r="H96" s="19">
        <f t="shared" si="58"/>
        <v>255</v>
      </c>
      <c r="I96" s="30">
        <f t="shared" si="59"/>
        <v>255</v>
      </c>
      <c r="J96" s="29" t="str">
        <f t="shared" si="60"/>
        <v>FF</v>
      </c>
      <c r="K96" s="19" t="str">
        <f t="shared" si="61"/>
        <v>FF</v>
      </c>
      <c r="L96" s="19" t="str">
        <f t="shared" si="62"/>
        <v>FF</v>
      </c>
      <c r="M96" s="30" t="str">
        <f t="shared" si="63"/>
        <v>FF</v>
      </c>
      <c r="N96" s="22" t="str">
        <f t="shared" si="55"/>
        <v>ÿ</v>
      </c>
      <c r="O96" s="19" t="str">
        <f t="shared" si="52"/>
        <v>ÿ</v>
      </c>
      <c r="P96" s="19" t="str">
        <f t="shared" si="53"/>
        <v>ÿ</v>
      </c>
      <c r="Q96" s="61" t="str">
        <f t="shared" si="54"/>
        <v>ÿ</v>
      </c>
      <c r="R96" s="64" t="str">
        <f t="shared" si="51"/>
        <v>ÿÿÿÿ</v>
      </c>
    </row>
    <row r="97" spans="1:18" x14ac:dyDescent="0.25">
      <c r="A97" s="48"/>
      <c r="B97" s="55" t="str">
        <f>Drive!C80</f>
        <v>DEFAULT_RESERVED_DRIVE</v>
      </c>
      <c r="C97" s="51" t="str">
        <f>Drive!B80</f>
        <v>3F978</v>
      </c>
      <c r="D97" s="23">
        <f>Drive!D80</f>
        <v>4294967295</v>
      </c>
      <c r="E97" s="21" t="str">
        <f t="shared" si="37"/>
        <v>FFFFFFFF</v>
      </c>
      <c r="F97" s="31">
        <f t="shared" si="56"/>
        <v>255</v>
      </c>
      <c r="G97" s="18">
        <f t="shared" si="57"/>
        <v>255</v>
      </c>
      <c r="H97" s="18">
        <f t="shared" si="58"/>
        <v>255</v>
      </c>
      <c r="I97" s="32">
        <f t="shared" si="59"/>
        <v>255</v>
      </c>
      <c r="J97" s="31" t="str">
        <f t="shared" si="60"/>
        <v>FF</v>
      </c>
      <c r="K97" s="18" t="str">
        <f t="shared" si="61"/>
        <v>FF</v>
      </c>
      <c r="L97" s="18" t="str">
        <f t="shared" si="62"/>
        <v>FF</v>
      </c>
      <c r="M97" s="32" t="str">
        <f t="shared" si="63"/>
        <v>FF</v>
      </c>
      <c r="N97" s="23" t="str">
        <f t="shared" si="55"/>
        <v>ÿ</v>
      </c>
      <c r="O97" s="18" t="str">
        <f t="shared" si="52"/>
        <v>ÿ</v>
      </c>
      <c r="P97" s="18" t="str">
        <f t="shared" si="53"/>
        <v>ÿ</v>
      </c>
      <c r="Q97" s="65" t="str">
        <f t="shared" si="54"/>
        <v>ÿ</v>
      </c>
      <c r="R97" s="2" t="str">
        <f t="shared" si="51"/>
        <v>ÿÿÿÿ</v>
      </c>
    </row>
    <row r="98" spans="1:18" x14ac:dyDescent="0.25">
      <c r="A98" s="47"/>
      <c r="B98" s="56" t="str">
        <f>Drive!C81</f>
        <v>DEFAULT_RESERVED_DRIVE</v>
      </c>
      <c r="C98" s="52" t="str">
        <f>Drive!B81</f>
        <v>3F97C</v>
      </c>
      <c r="D98" s="22">
        <f>Drive!D81</f>
        <v>4294967295</v>
      </c>
      <c r="E98" s="25" t="str">
        <f t="shared" si="37"/>
        <v>FFFFFFFF</v>
      </c>
      <c r="F98" s="29">
        <f t="shared" si="56"/>
        <v>255</v>
      </c>
      <c r="G98" s="19">
        <f t="shared" si="57"/>
        <v>255</v>
      </c>
      <c r="H98" s="19">
        <f t="shared" si="58"/>
        <v>255</v>
      </c>
      <c r="I98" s="30">
        <f t="shared" si="59"/>
        <v>255</v>
      </c>
      <c r="J98" s="29" t="str">
        <f t="shared" si="60"/>
        <v>FF</v>
      </c>
      <c r="K98" s="19" t="str">
        <f t="shared" si="61"/>
        <v>FF</v>
      </c>
      <c r="L98" s="19" t="str">
        <f t="shared" si="62"/>
        <v>FF</v>
      </c>
      <c r="M98" s="30" t="str">
        <f t="shared" si="63"/>
        <v>FF</v>
      </c>
      <c r="N98" s="22" t="str">
        <f t="shared" si="55"/>
        <v>ÿ</v>
      </c>
      <c r="O98" s="19" t="str">
        <f t="shared" si="52"/>
        <v>ÿ</v>
      </c>
      <c r="P98" s="19" t="str">
        <f t="shared" si="53"/>
        <v>ÿ</v>
      </c>
      <c r="Q98" s="61" t="str">
        <f t="shared" si="54"/>
        <v>ÿ</v>
      </c>
      <c r="R98" s="64" t="str">
        <f t="shared" si="51"/>
        <v>ÿÿÿÿ</v>
      </c>
    </row>
    <row r="99" spans="1:18" x14ac:dyDescent="0.25">
      <c r="A99" s="48"/>
      <c r="B99" s="55" t="str">
        <f>Drive!C82</f>
        <v>DEFAULT_RESERVED_DRIVE</v>
      </c>
      <c r="C99" s="51" t="str">
        <f>Drive!B82</f>
        <v>3F980</v>
      </c>
      <c r="D99" s="23">
        <f>Drive!D82</f>
        <v>4294967295</v>
      </c>
      <c r="E99" s="21" t="str">
        <f t="shared" si="37"/>
        <v>FFFFFFFF</v>
      </c>
      <c r="F99" s="31">
        <f t="shared" si="56"/>
        <v>255</v>
      </c>
      <c r="G99" s="18">
        <f t="shared" si="57"/>
        <v>255</v>
      </c>
      <c r="H99" s="18">
        <f t="shared" si="58"/>
        <v>255</v>
      </c>
      <c r="I99" s="32">
        <f t="shared" si="59"/>
        <v>255</v>
      </c>
      <c r="J99" s="31" t="str">
        <f t="shared" si="60"/>
        <v>FF</v>
      </c>
      <c r="K99" s="18" t="str">
        <f t="shared" si="61"/>
        <v>FF</v>
      </c>
      <c r="L99" s="18" t="str">
        <f t="shared" si="62"/>
        <v>FF</v>
      </c>
      <c r="M99" s="32" t="str">
        <f t="shared" si="63"/>
        <v>FF</v>
      </c>
      <c r="N99" s="23" t="str">
        <f t="shared" si="55"/>
        <v>ÿ</v>
      </c>
      <c r="O99" s="18" t="str">
        <f t="shared" si="52"/>
        <v>ÿ</v>
      </c>
      <c r="P99" s="18" t="str">
        <f t="shared" si="53"/>
        <v>ÿ</v>
      </c>
      <c r="Q99" s="65" t="str">
        <f t="shared" si="54"/>
        <v>ÿ</v>
      </c>
      <c r="R99" s="2" t="str">
        <f t="shared" si="51"/>
        <v>ÿÿÿÿ</v>
      </c>
    </row>
    <row r="100" spans="1:18" x14ac:dyDescent="0.25">
      <c r="A100" s="47"/>
      <c r="B100" s="56" t="str">
        <f>Drive!C83</f>
        <v>DEFAULT_RESERVED_DRIVE</v>
      </c>
      <c r="C100" s="52" t="str">
        <f>Drive!B83</f>
        <v>3F984</v>
      </c>
      <c r="D100" s="22">
        <f>Drive!D83</f>
        <v>4294967295</v>
      </c>
      <c r="E100" s="25" t="str">
        <f t="shared" si="37"/>
        <v>FFFFFFFF</v>
      </c>
      <c r="F100" s="29">
        <f t="shared" si="56"/>
        <v>255</v>
      </c>
      <c r="G100" s="19">
        <f t="shared" si="57"/>
        <v>255</v>
      </c>
      <c r="H100" s="19">
        <f t="shared" si="58"/>
        <v>255</v>
      </c>
      <c r="I100" s="30">
        <f t="shared" si="59"/>
        <v>255</v>
      </c>
      <c r="J100" s="29" t="str">
        <f t="shared" si="60"/>
        <v>FF</v>
      </c>
      <c r="K100" s="19" t="str">
        <f t="shared" si="61"/>
        <v>FF</v>
      </c>
      <c r="L100" s="19" t="str">
        <f t="shared" si="62"/>
        <v>FF</v>
      </c>
      <c r="M100" s="30" t="str">
        <f t="shared" si="63"/>
        <v>FF</v>
      </c>
      <c r="N100" s="22" t="str">
        <f t="shared" si="55"/>
        <v>ÿ</v>
      </c>
      <c r="O100" s="19" t="str">
        <f t="shared" si="52"/>
        <v>ÿ</v>
      </c>
      <c r="P100" s="19" t="str">
        <f t="shared" si="53"/>
        <v>ÿ</v>
      </c>
      <c r="Q100" s="61" t="str">
        <f t="shared" si="54"/>
        <v>ÿ</v>
      </c>
      <c r="R100" s="64" t="str">
        <f t="shared" si="51"/>
        <v>ÿÿÿÿ</v>
      </c>
    </row>
    <row r="101" spans="1:18" x14ac:dyDescent="0.25">
      <c r="A101" s="48"/>
      <c r="B101" s="55" t="str">
        <f>Drive!C84</f>
        <v>DEFAULT_RESERVED_DRIVE</v>
      </c>
      <c r="C101" s="51" t="str">
        <f>Drive!B84</f>
        <v>3F988</v>
      </c>
      <c r="D101" s="23">
        <f>Drive!D84</f>
        <v>4294967295</v>
      </c>
      <c r="E101" s="21" t="str">
        <f t="shared" ref="E101:E138" si="64">IF(D101&gt;=0,DEC2HEX(D101),DEC2HEX(D101+ 2^32))</f>
        <v>FFFFFFFF</v>
      </c>
      <c r="F101" s="31">
        <f t="shared" si="56"/>
        <v>255</v>
      </c>
      <c r="G101" s="18">
        <f t="shared" si="57"/>
        <v>255</v>
      </c>
      <c r="H101" s="18">
        <f t="shared" si="58"/>
        <v>255</v>
      </c>
      <c r="I101" s="32">
        <f t="shared" si="59"/>
        <v>255</v>
      </c>
      <c r="J101" s="31" t="str">
        <f t="shared" si="60"/>
        <v>FF</v>
      </c>
      <c r="K101" s="18" t="str">
        <f t="shared" si="61"/>
        <v>FF</v>
      </c>
      <c r="L101" s="18" t="str">
        <f t="shared" si="62"/>
        <v>FF</v>
      </c>
      <c r="M101" s="32" t="str">
        <f t="shared" si="63"/>
        <v>FF</v>
      </c>
      <c r="N101" s="23" t="str">
        <f t="shared" si="55"/>
        <v>ÿ</v>
      </c>
      <c r="O101" s="18" t="str">
        <f t="shared" si="52"/>
        <v>ÿ</v>
      </c>
      <c r="P101" s="18" t="str">
        <f t="shared" si="53"/>
        <v>ÿ</v>
      </c>
      <c r="Q101" s="65" t="str">
        <f t="shared" si="54"/>
        <v>ÿ</v>
      </c>
      <c r="R101" s="2" t="str">
        <f t="shared" si="51"/>
        <v>ÿÿÿÿ</v>
      </c>
    </row>
    <row r="102" spans="1:18" x14ac:dyDescent="0.25">
      <c r="A102" s="47"/>
      <c r="B102" s="56" t="str">
        <f>Drive!C85</f>
        <v>DEFAULT_RESERVED_DRIVE</v>
      </c>
      <c r="C102" s="52" t="str">
        <f>Drive!B85</f>
        <v>3F98C</v>
      </c>
      <c r="D102" s="22">
        <f>Drive!D85</f>
        <v>4294967295</v>
      </c>
      <c r="E102" s="25" t="str">
        <f t="shared" si="64"/>
        <v>FFFFFFFF</v>
      </c>
      <c r="F102" s="29">
        <f t="shared" si="56"/>
        <v>255</v>
      </c>
      <c r="G102" s="19">
        <f t="shared" si="57"/>
        <v>255</v>
      </c>
      <c r="H102" s="19">
        <f t="shared" si="58"/>
        <v>255</v>
      </c>
      <c r="I102" s="30">
        <f t="shared" si="59"/>
        <v>255</v>
      </c>
      <c r="J102" s="29" t="str">
        <f t="shared" si="60"/>
        <v>FF</v>
      </c>
      <c r="K102" s="19" t="str">
        <f t="shared" si="61"/>
        <v>FF</v>
      </c>
      <c r="L102" s="19" t="str">
        <f t="shared" si="62"/>
        <v>FF</v>
      </c>
      <c r="M102" s="30" t="str">
        <f t="shared" si="63"/>
        <v>FF</v>
      </c>
      <c r="N102" s="22" t="str">
        <f t="shared" si="55"/>
        <v>ÿ</v>
      </c>
      <c r="O102" s="19" t="str">
        <f t="shared" si="52"/>
        <v>ÿ</v>
      </c>
      <c r="P102" s="19" t="str">
        <f t="shared" si="53"/>
        <v>ÿ</v>
      </c>
      <c r="Q102" s="61" t="str">
        <f t="shared" si="54"/>
        <v>ÿ</v>
      </c>
      <c r="R102" s="64" t="str">
        <f t="shared" si="51"/>
        <v>ÿÿÿÿ</v>
      </c>
    </row>
    <row r="103" spans="1:18" x14ac:dyDescent="0.25">
      <c r="A103" s="48"/>
      <c r="B103" s="55" t="str">
        <f>Drive!C86</f>
        <v>DEFAULT_RESERVED_DRIVE</v>
      </c>
      <c r="C103" s="51" t="str">
        <f>Drive!B86</f>
        <v>3F990</v>
      </c>
      <c r="D103" s="23">
        <f>Drive!D86</f>
        <v>4294967295</v>
      </c>
      <c r="E103" s="21" t="str">
        <f t="shared" si="64"/>
        <v>FFFFFFFF</v>
      </c>
      <c r="F103" s="31">
        <f t="shared" si="56"/>
        <v>255</v>
      </c>
      <c r="G103" s="18">
        <f t="shared" si="57"/>
        <v>255</v>
      </c>
      <c r="H103" s="18">
        <f t="shared" si="58"/>
        <v>255</v>
      </c>
      <c r="I103" s="32">
        <f t="shared" si="59"/>
        <v>255</v>
      </c>
      <c r="J103" s="31" t="str">
        <f t="shared" si="60"/>
        <v>FF</v>
      </c>
      <c r="K103" s="18" t="str">
        <f t="shared" si="61"/>
        <v>FF</v>
      </c>
      <c r="L103" s="18" t="str">
        <f t="shared" si="62"/>
        <v>FF</v>
      </c>
      <c r="M103" s="32" t="str">
        <f t="shared" si="63"/>
        <v>FF</v>
      </c>
      <c r="N103" s="23" t="str">
        <f t="shared" si="55"/>
        <v>ÿ</v>
      </c>
      <c r="O103" s="18" t="str">
        <f t="shared" si="52"/>
        <v>ÿ</v>
      </c>
      <c r="P103" s="18" t="str">
        <f t="shared" si="53"/>
        <v>ÿ</v>
      </c>
      <c r="Q103" s="65" t="str">
        <f t="shared" si="54"/>
        <v>ÿ</v>
      </c>
      <c r="R103" s="2" t="str">
        <f t="shared" si="51"/>
        <v>ÿÿÿÿ</v>
      </c>
    </row>
    <row r="104" spans="1:18" x14ac:dyDescent="0.25">
      <c r="A104" s="47"/>
      <c r="B104" s="56" t="str">
        <f>Drive!C87</f>
        <v>DEFAULT_RESERVED_DRIVE</v>
      </c>
      <c r="C104" s="52" t="str">
        <f>Drive!B87</f>
        <v>3F994</v>
      </c>
      <c r="D104" s="22">
        <f>Drive!D87</f>
        <v>4294967295</v>
      </c>
      <c r="E104" s="25" t="str">
        <f t="shared" si="64"/>
        <v>FFFFFFFF</v>
      </c>
      <c r="F104" s="29">
        <f t="shared" si="56"/>
        <v>255</v>
      </c>
      <c r="G104" s="19">
        <f t="shared" si="57"/>
        <v>255</v>
      </c>
      <c r="H104" s="19">
        <f t="shared" si="58"/>
        <v>255</v>
      </c>
      <c r="I104" s="30">
        <f t="shared" si="59"/>
        <v>255</v>
      </c>
      <c r="J104" s="29" t="str">
        <f t="shared" si="60"/>
        <v>FF</v>
      </c>
      <c r="K104" s="19" t="str">
        <f t="shared" si="61"/>
        <v>FF</v>
      </c>
      <c r="L104" s="19" t="str">
        <f t="shared" si="62"/>
        <v>FF</v>
      </c>
      <c r="M104" s="30" t="str">
        <f t="shared" si="63"/>
        <v>FF</v>
      </c>
      <c r="N104" s="22" t="str">
        <f t="shared" si="55"/>
        <v>ÿ</v>
      </c>
      <c r="O104" s="19" t="str">
        <f t="shared" si="52"/>
        <v>ÿ</v>
      </c>
      <c r="P104" s="19" t="str">
        <f t="shared" si="53"/>
        <v>ÿ</v>
      </c>
      <c r="Q104" s="61" t="str">
        <f t="shared" si="54"/>
        <v>ÿ</v>
      </c>
      <c r="R104" s="64" t="str">
        <f t="shared" si="51"/>
        <v>ÿÿÿÿ</v>
      </c>
    </row>
    <row r="105" spans="1:18" x14ac:dyDescent="0.25">
      <c r="A105" s="48"/>
      <c r="B105" s="55" t="str">
        <f>Drive!C88</f>
        <v>DEFAULT_RESERVED_DRIVE</v>
      </c>
      <c r="C105" s="51" t="str">
        <f>Drive!B88</f>
        <v>3F998</v>
      </c>
      <c r="D105" s="23">
        <f>Drive!D88</f>
        <v>4294967295</v>
      </c>
      <c r="E105" s="21" t="str">
        <f t="shared" si="64"/>
        <v>FFFFFFFF</v>
      </c>
      <c r="F105" s="31">
        <f t="shared" si="56"/>
        <v>255</v>
      </c>
      <c r="G105" s="18">
        <f t="shared" si="57"/>
        <v>255</v>
      </c>
      <c r="H105" s="18">
        <f t="shared" si="58"/>
        <v>255</v>
      </c>
      <c r="I105" s="32">
        <f t="shared" si="59"/>
        <v>255</v>
      </c>
      <c r="J105" s="31" t="str">
        <f t="shared" si="60"/>
        <v>FF</v>
      </c>
      <c r="K105" s="18" t="str">
        <f t="shared" si="61"/>
        <v>FF</v>
      </c>
      <c r="L105" s="18" t="str">
        <f t="shared" si="62"/>
        <v>FF</v>
      </c>
      <c r="M105" s="32" t="str">
        <f t="shared" si="63"/>
        <v>FF</v>
      </c>
      <c r="N105" s="23" t="str">
        <f t="shared" si="55"/>
        <v>ÿ</v>
      </c>
      <c r="O105" s="18" t="str">
        <f t="shared" si="52"/>
        <v>ÿ</v>
      </c>
      <c r="P105" s="18" t="str">
        <f t="shared" si="53"/>
        <v>ÿ</v>
      </c>
      <c r="Q105" s="65" t="str">
        <f t="shared" si="54"/>
        <v>ÿ</v>
      </c>
      <c r="R105" s="2" t="str">
        <f t="shared" si="51"/>
        <v>ÿÿÿÿ</v>
      </c>
    </row>
    <row r="106" spans="1:18" x14ac:dyDescent="0.25">
      <c r="A106" s="47"/>
      <c r="B106" s="56" t="str">
        <f>Drive!C89</f>
        <v>DEFAULT_RESERVED_DRIVE</v>
      </c>
      <c r="C106" s="52" t="str">
        <f>Drive!B89</f>
        <v>3F99C</v>
      </c>
      <c r="D106" s="22">
        <f>Drive!D89</f>
        <v>4294967295</v>
      </c>
      <c r="E106" s="25" t="str">
        <f t="shared" si="64"/>
        <v>FFFFFFFF</v>
      </c>
      <c r="F106" s="29">
        <f t="shared" si="56"/>
        <v>255</v>
      </c>
      <c r="G106" s="19">
        <f t="shared" si="57"/>
        <v>255</v>
      </c>
      <c r="H106" s="19">
        <f t="shared" si="58"/>
        <v>255</v>
      </c>
      <c r="I106" s="30">
        <f t="shared" si="59"/>
        <v>255</v>
      </c>
      <c r="J106" s="29" t="str">
        <f t="shared" si="60"/>
        <v>FF</v>
      </c>
      <c r="K106" s="19" t="str">
        <f t="shared" si="61"/>
        <v>FF</v>
      </c>
      <c r="L106" s="19" t="str">
        <f t="shared" si="62"/>
        <v>FF</v>
      </c>
      <c r="M106" s="30" t="str">
        <f t="shared" si="63"/>
        <v>FF</v>
      </c>
      <c r="N106" s="22" t="str">
        <f t="shared" si="55"/>
        <v>ÿ</v>
      </c>
      <c r="O106" s="19" t="str">
        <f t="shared" si="52"/>
        <v>ÿ</v>
      </c>
      <c r="P106" s="19" t="str">
        <f t="shared" si="53"/>
        <v>ÿ</v>
      </c>
      <c r="Q106" s="61" t="str">
        <f t="shared" si="54"/>
        <v>ÿ</v>
      </c>
      <c r="R106" s="64" t="str">
        <f t="shared" si="51"/>
        <v>ÿÿÿÿ</v>
      </c>
    </row>
    <row r="107" spans="1:18" x14ac:dyDescent="0.25">
      <c r="A107" s="48"/>
      <c r="B107" s="55" t="str">
        <f>Drive!C90</f>
        <v>DEFAULT_RESERVED_DRIVE</v>
      </c>
      <c r="C107" s="51" t="str">
        <f>Drive!B90</f>
        <v>3F9A0</v>
      </c>
      <c r="D107" s="23">
        <f>Drive!D90</f>
        <v>4294967295</v>
      </c>
      <c r="E107" s="21" t="str">
        <f t="shared" si="64"/>
        <v>FFFFFFFF</v>
      </c>
      <c r="F107" s="31">
        <f t="shared" si="56"/>
        <v>255</v>
      </c>
      <c r="G107" s="18">
        <f t="shared" si="57"/>
        <v>255</v>
      </c>
      <c r="H107" s="18">
        <f t="shared" si="58"/>
        <v>255</v>
      </c>
      <c r="I107" s="32">
        <f t="shared" si="59"/>
        <v>255</v>
      </c>
      <c r="J107" s="31" t="str">
        <f t="shared" si="60"/>
        <v>FF</v>
      </c>
      <c r="K107" s="18" t="str">
        <f t="shared" si="61"/>
        <v>FF</v>
      </c>
      <c r="L107" s="18" t="str">
        <f t="shared" si="62"/>
        <v>FF</v>
      </c>
      <c r="M107" s="32" t="str">
        <f t="shared" si="63"/>
        <v>FF</v>
      </c>
      <c r="N107" s="23" t="str">
        <f t="shared" si="55"/>
        <v>ÿ</v>
      </c>
      <c r="O107" s="18" t="str">
        <f t="shared" si="52"/>
        <v>ÿ</v>
      </c>
      <c r="P107" s="18" t="str">
        <f t="shared" si="53"/>
        <v>ÿ</v>
      </c>
      <c r="Q107" s="65" t="str">
        <f t="shared" si="54"/>
        <v>ÿ</v>
      </c>
      <c r="R107" s="2" t="str">
        <f t="shared" si="51"/>
        <v>ÿÿÿÿ</v>
      </c>
    </row>
    <row r="108" spans="1:18" x14ac:dyDescent="0.25">
      <c r="A108" s="47"/>
      <c r="B108" s="56" t="str">
        <f>Drive!C91</f>
        <v>DEFAULT_RESERVED_DRIVE</v>
      </c>
      <c r="C108" s="52" t="str">
        <f>Drive!B91</f>
        <v>3F9A4</v>
      </c>
      <c r="D108" s="22">
        <f>Drive!D91</f>
        <v>4294967295</v>
      </c>
      <c r="E108" s="25" t="str">
        <f t="shared" si="64"/>
        <v>FFFFFFFF</v>
      </c>
      <c r="F108" s="29">
        <f t="shared" ref="F108:F138" si="65">IF(D108 &gt;= 0,TRUNC(D108/(2^24)),TRUNC((D108 + 2^32)/(2^24)))</f>
        <v>255</v>
      </c>
      <c r="G108" s="19">
        <f t="shared" ref="G108:G138" si="66">IF(D108&gt;=0,TRUNC((D108-(F108*2^24))/(2^16)),TRUNC(((D108+2^32)-(F108*2^24))/(2^16)))</f>
        <v>255</v>
      </c>
      <c r="H108" s="19">
        <f t="shared" ref="H108:H138" si="67">IF(D108&gt;=0,TRUNC((D108-((F108*2^24)+(G108*2^16)))/2^8),TRUNC(((D108 + 2^32)-((F108*2^24)+(G108*2^16)))/2^8))</f>
        <v>255</v>
      </c>
      <c r="I108" s="30">
        <f t="shared" ref="I108:I138" si="68">IF(D108&gt;=0,TRUNC((D108-((F108*2^24)+(G108*2^16)+(H108*2^8)))),TRUNC(((D108+2^32)-((F108*2^24)+(G108*2^16)+(H108*2^8)))))</f>
        <v>255</v>
      </c>
      <c r="J108" s="29" t="str">
        <f t="shared" ref="J108:J138" si="69">DEC2HEX(F108)</f>
        <v>FF</v>
      </c>
      <c r="K108" s="19" t="str">
        <f t="shared" ref="K108:K138" si="70">DEC2HEX(G108)</f>
        <v>FF</v>
      </c>
      <c r="L108" s="19" t="str">
        <f t="shared" ref="L108:L138" si="71">DEC2HEX(H108)</f>
        <v>FF</v>
      </c>
      <c r="M108" s="30" t="str">
        <f t="shared" ref="M108:M138" si="72">DEC2HEX(I108)</f>
        <v>FF</v>
      </c>
      <c r="N108" s="22" t="str">
        <f t="shared" si="55"/>
        <v>ÿ</v>
      </c>
      <c r="O108" s="19" t="str">
        <f t="shared" si="52"/>
        <v>ÿ</v>
      </c>
      <c r="P108" s="19" t="str">
        <f t="shared" si="53"/>
        <v>ÿ</v>
      </c>
      <c r="Q108" s="61" t="str">
        <f t="shared" si="54"/>
        <v>ÿ</v>
      </c>
      <c r="R108" s="64" t="str">
        <f t="shared" si="51"/>
        <v>ÿÿÿÿ</v>
      </c>
    </row>
    <row r="109" spans="1:18" x14ac:dyDescent="0.25">
      <c r="A109" s="48"/>
      <c r="B109" s="55" t="str">
        <f>Drive!C92</f>
        <v>DEFAULT_RESERVED_DRIVE</v>
      </c>
      <c r="C109" s="51" t="str">
        <f>Drive!B92</f>
        <v>3F9A8</v>
      </c>
      <c r="D109" s="23">
        <f>Drive!D92</f>
        <v>4294967295</v>
      </c>
      <c r="E109" s="21" t="str">
        <f t="shared" si="64"/>
        <v>FFFFFFFF</v>
      </c>
      <c r="F109" s="31">
        <f t="shared" si="65"/>
        <v>255</v>
      </c>
      <c r="G109" s="18">
        <f t="shared" si="66"/>
        <v>255</v>
      </c>
      <c r="H109" s="18">
        <f t="shared" si="67"/>
        <v>255</v>
      </c>
      <c r="I109" s="32">
        <f t="shared" si="68"/>
        <v>255</v>
      </c>
      <c r="J109" s="31" t="str">
        <f t="shared" si="69"/>
        <v>FF</v>
      </c>
      <c r="K109" s="18" t="str">
        <f t="shared" si="70"/>
        <v>FF</v>
      </c>
      <c r="L109" s="18" t="str">
        <f t="shared" si="71"/>
        <v>FF</v>
      </c>
      <c r="M109" s="32" t="str">
        <f t="shared" si="72"/>
        <v>FF</v>
      </c>
      <c r="N109" s="23" t="str">
        <f t="shared" si="55"/>
        <v>ÿ</v>
      </c>
      <c r="O109" s="18" t="str">
        <f t="shared" si="52"/>
        <v>ÿ</v>
      </c>
      <c r="P109" s="18" t="str">
        <f t="shared" si="53"/>
        <v>ÿ</v>
      </c>
      <c r="Q109" s="65" t="str">
        <f t="shared" si="54"/>
        <v>ÿ</v>
      </c>
      <c r="R109" s="2" t="str">
        <f t="shared" si="51"/>
        <v>ÿÿÿÿ</v>
      </c>
    </row>
    <row r="110" spans="1:18" x14ac:dyDescent="0.25">
      <c r="A110" s="47"/>
      <c r="B110" s="56" t="str">
        <f>Drive!C93</f>
        <v>DEFAULT_RESERVED_DRIVE</v>
      </c>
      <c r="C110" s="52" t="str">
        <f>Drive!B93</f>
        <v>3F9AC</v>
      </c>
      <c r="D110" s="22">
        <f>Drive!D93</f>
        <v>4294967295</v>
      </c>
      <c r="E110" s="25" t="str">
        <f t="shared" si="64"/>
        <v>FFFFFFFF</v>
      </c>
      <c r="F110" s="29">
        <f t="shared" si="65"/>
        <v>255</v>
      </c>
      <c r="G110" s="19">
        <f t="shared" si="66"/>
        <v>255</v>
      </c>
      <c r="H110" s="19">
        <f t="shared" si="67"/>
        <v>255</v>
      </c>
      <c r="I110" s="30">
        <f t="shared" si="68"/>
        <v>255</v>
      </c>
      <c r="J110" s="29" t="str">
        <f t="shared" si="69"/>
        <v>FF</v>
      </c>
      <c r="K110" s="19" t="str">
        <f t="shared" si="70"/>
        <v>FF</v>
      </c>
      <c r="L110" s="19" t="str">
        <f t="shared" si="71"/>
        <v>FF</v>
      </c>
      <c r="M110" s="30" t="str">
        <f t="shared" si="72"/>
        <v>FF</v>
      </c>
      <c r="N110" s="22" t="str">
        <f t="shared" si="55"/>
        <v>ÿ</v>
      </c>
      <c r="O110" s="19" t="str">
        <f t="shared" si="52"/>
        <v>ÿ</v>
      </c>
      <c r="P110" s="19" t="str">
        <f t="shared" si="53"/>
        <v>ÿ</v>
      </c>
      <c r="Q110" s="61" t="str">
        <f t="shared" si="54"/>
        <v>ÿ</v>
      </c>
      <c r="R110" s="64" t="str">
        <f t="shared" si="51"/>
        <v>ÿÿÿÿ</v>
      </c>
    </row>
    <row r="111" spans="1:18" x14ac:dyDescent="0.25">
      <c r="A111" s="48"/>
      <c r="B111" s="55" t="str">
        <f>Drive!C94</f>
        <v>DEFAULT_RESERVED_DRIVE</v>
      </c>
      <c r="C111" s="51" t="str">
        <f>Drive!B94</f>
        <v>3F9B0</v>
      </c>
      <c r="D111" s="23">
        <f>Drive!D94</f>
        <v>4294967295</v>
      </c>
      <c r="E111" s="21" t="str">
        <f t="shared" si="64"/>
        <v>FFFFFFFF</v>
      </c>
      <c r="F111" s="31">
        <f t="shared" si="65"/>
        <v>255</v>
      </c>
      <c r="G111" s="18">
        <f t="shared" si="66"/>
        <v>255</v>
      </c>
      <c r="H111" s="18">
        <f t="shared" si="67"/>
        <v>255</v>
      </c>
      <c r="I111" s="32">
        <f t="shared" si="68"/>
        <v>255</v>
      </c>
      <c r="J111" s="31" t="str">
        <f t="shared" si="69"/>
        <v>FF</v>
      </c>
      <c r="K111" s="18" t="str">
        <f t="shared" si="70"/>
        <v>FF</v>
      </c>
      <c r="L111" s="18" t="str">
        <f t="shared" si="71"/>
        <v>FF</v>
      </c>
      <c r="M111" s="32" t="str">
        <f t="shared" si="72"/>
        <v>FF</v>
      </c>
      <c r="N111" s="23" t="str">
        <f t="shared" si="55"/>
        <v>ÿ</v>
      </c>
      <c r="O111" s="18" t="str">
        <f t="shared" si="52"/>
        <v>ÿ</v>
      </c>
      <c r="P111" s="18" t="str">
        <f t="shared" si="53"/>
        <v>ÿ</v>
      </c>
      <c r="Q111" s="65" t="str">
        <f t="shared" si="54"/>
        <v>ÿ</v>
      </c>
      <c r="R111" s="2" t="str">
        <f t="shared" si="51"/>
        <v>ÿÿÿÿ</v>
      </c>
    </row>
    <row r="112" spans="1:18" ht="15" customHeight="1" x14ac:dyDescent="0.25">
      <c r="A112" s="47"/>
      <c r="B112" s="56" t="str">
        <f>Drive!C95</f>
        <v>DEFAULT_RESERVED_DRIVE</v>
      </c>
      <c r="C112" s="52" t="str">
        <f>Drive!B95</f>
        <v>3F9B4</v>
      </c>
      <c r="D112" s="22">
        <f>Drive!D95</f>
        <v>4294967295</v>
      </c>
      <c r="E112" s="25" t="str">
        <f t="shared" si="64"/>
        <v>FFFFFFFF</v>
      </c>
      <c r="F112" s="29">
        <f t="shared" si="65"/>
        <v>255</v>
      </c>
      <c r="G112" s="19">
        <f t="shared" si="66"/>
        <v>255</v>
      </c>
      <c r="H112" s="19">
        <f t="shared" si="67"/>
        <v>255</v>
      </c>
      <c r="I112" s="30">
        <f t="shared" si="68"/>
        <v>255</v>
      </c>
      <c r="J112" s="29" t="str">
        <f t="shared" si="69"/>
        <v>FF</v>
      </c>
      <c r="K112" s="19" t="str">
        <f t="shared" si="70"/>
        <v>FF</v>
      </c>
      <c r="L112" s="19" t="str">
        <f t="shared" si="71"/>
        <v>FF</v>
      </c>
      <c r="M112" s="30" t="str">
        <f t="shared" si="72"/>
        <v>FF</v>
      </c>
      <c r="N112" s="22" t="str">
        <f t="shared" si="55"/>
        <v>ÿ</v>
      </c>
      <c r="O112" s="19" t="str">
        <f t="shared" si="52"/>
        <v>ÿ</v>
      </c>
      <c r="P112" s="19" t="str">
        <f t="shared" si="53"/>
        <v>ÿ</v>
      </c>
      <c r="Q112" s="61" t="str">
        <f t="shared" si="54"/>
        <v>ÿ</v>
      </c>
      <c r="R112" s="64" t="str">
        <f t="shared" si="51"/>
        <v>ÿÿÿÿ</v>
      </c>
    </row>
    <row r="113" spans="1:18" ht="15" customHeight="1" x14ac:dyDescent="0.25">
      <c r="A113" s="48"/>
      <c r="B113" s="55" t="str">
        <f>Drive!C96</f>
        <v>DEFAULT_RESERVED_DRIVE</v>
      </c>
      <c r="C113" s="51" t="str">
        <f>Drive!B96</f>
        <v>3F9B8</v>
      </c>
      <c r="D113" s="23">
        <f>Drive!D96</f>
        <v>4294967295</v>
      </c>
      <c r="E113" s="21" t="str">
        <f t="shared" si="64"/>
        <v>FFFFFFFF</v>
      </c>
      <c r="F113" s="31">
        <f t="shared" si="65"/>
        <v>255</v>
      </c>
      <c r="G113" s="18">
        <f t="shared" si="66"/>
        <v>255</v>
      </c>
      <c r="H113" s="18">
        <f t="shared" si="67"/>
        <v>255</v>
      </c>
      <c r="I113" s="32">
        <f t="shared" si="68"/>
        <v>255</v>
      </c>
      <c r="J113" s="31" t="str">
        <f t="shared" si="69"/>
        <v>FF</v>
      </c>
      <c r="K113" s="18" t="str">
        <f t="shared" si="70"/>
        <v>FF</v>
      </c>
      <c r="L113" s="18" t="str">
        <f t="shared" si="71"/>
        <v>FF</v>
      </c>
      <c r="M113" s="32" t="str">
        <f t="shared" si="72"/>
        <v>FF</v>
      </c>
      <c r="N113" s="23" t="str">
        <f t="shared" si="55"/>
        <v>ÿ</v>
      </c>
      <c r="O113" s="18" t="str">
        <f t="shared" si="52"/>
        <v>ÿ</v>
      </c>
      <c r="P113" s="18" t="str">
        <f t="shared" si="53"/>
        <v>ÿ</v>
      </c>
      <c r="Q113" s="65" t="str">
        <f t="shared" si="54"/>
        <v>ÿ</v>
      </c>
      <c r="R113" s="2" t="str">
        <f t="shared" si="51"/>
        <v>ÿÿÿÿ</v>
      </c>
    </row>
    <row r="114" spans="1:18" ht="15" customHeight="1" x14ac:dyDescent="0.25">
      <c r="A114" s="47"/>
      <c r="B114" s="56" t="str">
        <f>Drive!C97</f>
        <v>DEFAULT_RESERVED_DRIVE</v>
      </c>
      <c r="C114" s="52" t="str">
        <f>Drive!B97</f>
        <v>3F9BC</v>
      </c>
      <c r="D114" s="22">
        <f>Drive!D97</f>
        <v>4294967295</v>
      </c>
      <c r="E114" s="25" t="str">
        <f t="shared" si="64"/>
        <v>FFFFFFFF</v>
      </c>
      <c r="F114" s="29">
        <f t="shared" si="65"/>
        <v>255</v>
      </c>
      <c r="G114" s="19">
        <f t="shared" si="66"/>
        <v>255</v>
      </c>
      <c r="H114" s="19">
        <f t="shared" si="67"/>
        <v>255</v>
      </c>
      <c r="I114" s="30">
        <f t="shared" si="68"/>
        <v>255</v>
      </c>
      <c r="J114" s="29" t="str">
        <f t="shared" si="69"/>
        <v>FF</v>
      </c>
      <c r="K114" s="19" t="str">
        <f t="shared" si="70"/>
        <v>FF</v>
      </c>
      <c r="L114" s="19" t="str">
        <f t="shared" si="71"/>
        <v>FF</v>
      </c>
      <c r="M114" s="30" t="str">
        <f t="shared" si="72"/>
        <v>FF</v>
      </c>
      <c r="N114" s="22" t="str">
        <f t="shared" si="55"/>
        <v>ÿ</v>
      </c>
      <c r="O114" s="19" t="str">
        <f t="shared" si="52"/>
        <v>ÿ</v>
      </c>
      <c r="P114" s="19" t="str">
        <f t="shared" si="53"/>
        <v>ÿ</v>
      </c>
      <c r="Q114" s="61" t="str">
        <f t="shared" si="54"/>
        <v>ÿ</v>
      </c>
      <c r="R114" s="64" t="str">
        <f t="shared" si="51"/>
        <v>ÿÿÿÿ</v>
      </c>
    </row>
    <row r="115" spans="1:18" ht="15" customHeight="1" x14ac:dyDescent="0.25">
      <c r="A115" s="48"/>
      <c r="B115" s="55" t="str">
        <f>Drive!C98</f>
        <v>DEFAULT_RESERVED_DRIVE</v>
      </c>
      <c r="C115" s="51" t="str">
        <f>Drive!B98</f>
        <v>3F9C0</v>
      </c>
      <c r="D115" s="23">
        <f>Drive!D98</f>
        <v>4294967295</v>
      </c>
      <c r="E115" s="21" t="str">
        <f t="shared" si="64"/>
        <v>FFFFFFFF</v>
      </c>
      <c r="F115" s="31">
        <f t="shared" si="65"/>
        <v>255</v>
      </c>
      <c r="G115" s="18">
        <f t="shared" si="66"/>
        <v>255</v>
      </c>
      <c r="H115" s="18">
        <f t="shared" si="67"/>
        <v>255</v>
      </c>
      <c r="I115" s="32">
        <f t="shared" si="68"/>
        <v>255</v>
      </c>
      <c r="J115" s="31" t="str">
        <f t="shared" si="69"/>
        <v>FF</v>
      </c>
      <c r="K115" s="18" t="str">
        <f t="shared" si="70"/>
        <v>FF</v>
      </c>
      <c r="L115" s="18" t="str">
        <f t="shared" si="71"/>
        <v>FF</v>
      </c>
      <c r="M115" s="32" t="str">
        <f t="shared" si="72"/>
        <v>FF</v>
      </c>
      <c r="N115" s="23" t="str">
        <f t="shared" si="55"/>
        <v>ÿ</v>
      </c>
      <c r="O115" s="18" t="str">
        <f t="shared" si="52"/>
        <v>ÿ</v>
      </c>
      <c r="P115" s="18" t="str">
        <f t="shared" si="53"/>
        <v>ÿ</v>
      </c>
      <c r="Q115" s="65" t="str">
        <f t="shared" si="54"/>
        <v>ÿ</v>
      </c>
      <c r="R115" s="2" t="str">
        <f t="shared" si="51"/>
        <v>ÿÿÿÿ</v>
      </c>
    </row>
    <row r="116" spans="1:18" ht="15" customHeight="1" x14ac:dyDescent="0.25">
      <c r="A116" s="47"/>
      <c r="B116" s="56" t="str">
        <f>Drive!C99</f>
        <v>DEFAULT_RESERVED_DRIVE</v>
      </c>
      <c r="C116" s="52" t="str">
        <f>Drive!B99</f>
        <v>3F9C4</v>
      </c>
      <c r="D116" s="22">
        <f>Drive!D99</f>
        <v>4294967295</v>
      </c>
      <c r="E116" s="25" t="str">
        <f t="shared" si="64"/>
        <v>FFFFFFFF</v>
      </c>
      <c r="F116" s="29">
        <f t="shared" si="65"/>
        <v>255</v>
      </c>
      <c r="G116" s="19">
        <f t="shared" si="66"/>
        <v>255</v>
      </c>
      <c r="H116" s="19">
        <f t="shared" si="67"/>
        <v>255</v>
      </c>
      <c r="I116" s="30">
        <f t="shared" si="68"/>
        <v>255</v>
      </c>
      <c r="J116" s="29" t="str">
        <f t="shared" si="69"/>
        <v>FF</v>
      </c>
      <c r="K116" s="19" t="str">
        <f t="shared" si="70"/>
        <v>FF</v>
      </c>
      <c r="L116" s="19" t="str">
        <f t="shared" si="71"/>
        <v>FF</v>
      </c>
      <c r="M116" s="30" t="str">
        <f t="shared" si="72"/>
        <v>FF</v>
      </c>
      <c r="N116" s="22" t="str">
        <f t="shared" si="55"/>
        <v>ÿ</v>
      </c>
      <c r="O116" s="19" t="str">
        <f t="shared" si="52"/>
        <v>ÿ</v>
      </c>
      <c r="P116" s="19" t="str">
        <f t="shared" si="53"/>
        <v>ÿ</v>
      </c>
      <c r="Q116" s="61" t="str">
        <f t="shared" si="54"/>
        <v>ÿ</v>
      </c>
      <c r="R116" s="64" t="str">
        <f t="shared" si="51"/>
        <v>ÿÿÿÿ</v>
      </c>
    </row>
    <row r="117" spans="1:18" x14ac:dyDescent="0.25">
      <c r="A117" s="48"/>
      <c r="B117" s="55" t="str">
        <f>Drive!C100</f>
        <v>DEFAULT_RESERVED_DRIVE</v>
      </c>
      <c r="C117" s="51" t="str">
        <f>Drive!B100</f>
        <v>3F9C8</v>
      </c>
      <c r="D117" s="23">
        <f>Drive!D100</f>
        <v>4294967295</v>
      </c>
      <c r="E117" s="21" t="str">
        <f t="shared" si="64"/>
        <v>FFFFFFFF</v>
      </c>
      <c r="F117" s="31">
        <f t="shared" si="65"/>
        <v>255</v>
      </c>
      <c r="G117" s="18">
        <f t="shared" si="66"/>
        <v>255</v>
      </c>
      <c r="H117" s="18">
        <f t="shared" si="67"/>
        <v>255</v>
      </c>
      <c r="I117" s="32">
        <f t="shared" si="68"/>
        <v>255</v>
      </c>
      <c r="J117" s="31" t="str">
        <f t="shared" si="69"/>
        <v>FF</v>
      </c>
      <c r="K117" s="18" t="str">
        <f t="shared" si="70"/>
        <v>FF</v>
      </c>
      <c r="L117" s="18" t="str">
        <f t="shared" si="71"/>
        <v>FF</v>
      </c>
      <c r="M117" s="32" t="str">
        <f t="shared" si="72"/>
        <v>FF</v>
      </c>
      <c r="N117" s="23" t="str">
        <f t="shared" si="55"/>
        <v>ÿ</v>
      </c>
      <c r="O117" s="18" t="str">
        <f t="shared" si="52"/>
        <v>ÿ</v>
      </c>
      <c r="P117" s="18" t="str">
        <f t="shared" si="53"/>
        <v>ÿ</v>
      </c>
      <c r="Q117" s="65" t="str">
        <f t="shared" si="54"/>
        <v>ÿ</v>
      </c>
      <c r="R117" s="2" t="str">
        <f t="shared" si="51"/>
        <v>ÿÿÿÿ</v>
      </c>
    </row>
    <row r="118" spans="1:18" x14ac:dyDescent="0.25">
      <c r="A118" s="47"/>
      <c r="B118" s="56" t="str">
        <f>Drive!C101</f>
        <v>DEFAULT_RESERVED_DRIVE</v>
      </c>
      <c r="C118" s="52" t="str">
        <f>Drive!B101</f>
        <v>3F9CC</v>
      </c>
      <c r="D118" s="22">
        <f>Drive!D101</f>
        <v>4294967295</v>
      </c>
      <c r="E118" s="25" t="str">
        <f t="shared" si="64"/>
        <v>FFFFFFFF</v>
      </c>
      <c r="F118" s="29">
        <f t="shared" si="65"/>
        <v>255</v>
      </c>
      <c r="G118" s="19">
        <f t="shared" si="66"/>
        <v>255</v>
      </c>
      <c r="H118" s="19">
        <f t="shared" si="67"/>
        <v>255</v>
      </c>
      <c r="I118" s="30">
        <f t="shared" si="68"/>
        <v>255</v>
      </c>
      <c r="J118" s="29" t="str">
        <f t="shared" si="69"/>
        <v>FF</v>
      </c>
      <c r="K118" s="19" t="str">
        <f t="shared" si="70"/>
        <v>FF</v>
      </c>
      <c r="L118" s="19" t="str">
        <f t="shared" si="71"/>
        <v>FF</v>
      </c>
      <c r="M118" s="30" t="str">
        <f t="shared" si="72"/>
        <v>FF</v>
      </c>
      <c r="N118" s="22" t="str">
        <f t="shared" si="55"/>
        <v>ÿ</v>
      </c>
      <c r="O118" s="19" t="str">
        <f t="shared" si="52"/>
        <v>ÿ</v>
      </c>
      <c r="P118" s="19" t="str">
        <f t="shared" si="53"/>
        <v>ÿ</v>
      </c>
      <c r="Q118" s="61" t="str">
        <f t="shared" si="54"/>
        <v>ÿ</v>
      </c>
      <c r="R118" s="64" t="str">
        <f t="shared" si="51"/>
        <v>ÿÿÿÿ</v>
      </c>
    </row>
    <row r="119" spans="1:18" x14ac:dyDescent="0.25">
      <c r="A119" s="48"/>
      <c r="B119" s="55" t="str">
        <f>Drive!C102</f>
        <v>DEFAULT_RESERVED_DRIVE</v>
      </c>
      <c r="C119" s="51" t="str">
        <f>Drive!B102</f>
        <v>3F9D0</v>
      </c>
      <c r="D119" s="23">
        <f>Drive!D102</f>
        <v>4294967295</v>
      </c>
      <c r="E119" s="21" t="str">
        <f t="shared" si="64"/>
        <v>FFFFFFFF</v>
      </c>
      <c r="F119" s="31">
        <f t="shared" si="65"/>
        <v>255</v>
      </c>
      <c r="G119" s="18">
        <f t="shared" si="66"/>
        <v>255</v>
      </c>
      <c r="H119" s="18">
        <f t="shared" si="67"/>
        <v>255</v>
      </c>
      <c r="I119" s="32">
        <f t="shared" si="68"/>
        <v>255</v>
      </c>
      <c r="J119" s="31" t="str">
        <f t="shared" si="69"/>
        <v>FF</v>
      </c>
      <c r="K119" s="18" t="str">
        <f t="shared" si="70"/>
        <v>FF</v>
      </c>
      <c r="L119" s="18" t="str">
        <f t="shared" si="71"/>
        <v>FF</v>
      </c>
      <c r="M119" s="32" t="str">
        <f t="shared" si="72"/>
        <v>FF</v>
      </c>
      <c r="N119" s="23" t="str">
        <f t="shared" si="55"/>
        <v>ÿ</v>
      </c>
      <c r="O119" s="18" t="str">
        <f t="shared" si="52"/>
        <v>ÿ</v>
      </c>
      <c r="P119" s="18" t="str">
        <f t="shared" si="53"/>
        <v>ÿ</v>
      </c>
      <c r="Q119" s="65" t="str">
        <f t="shared" si="54"/>
        <v>ÿ</v>
      </c>
      <c r="R119" s="2" t="str">
        <f t="shared" si="51"/>
        <v>ÿÿÿÿ</v>
      </c>
    </row>
    <row r="120" spans="1:18" x14ac:dyDescent="0.25">
      <c r="A120" s="47"/>
      <c r="B120" s="56" t="str">
        <f>Drive!C103</f>
        <v>DEFAULT_RESERVED_DRIVE</v>
      </c>
      <c r="C120" s="52" t="str">
        <f>Drive!B103</f>
        <v>3F9D4</v>
      </c>
      <c r="D120" s="22">
        <f>Drive!D103</f>
        <v>4294967295</v>
      </c>
      <c r="E120" s="25" t="str">
        <f t="shared" si="64"/>
        <v>FFFFFFFF</v>
      </c>
      <c r="F120" s="29">
        <f t="shared" si="65"/>
        <v>255</v>
      </c>
      <c r="G120" s="19">
        <f t="shared" si="66"/>
        <v>255</v>
      </c>
      <c r="H120" s="19">
        <f t="shared" si="67"/>
        <v>255</v>
      </c>
      <c r="I120" s="30">
        <f t="shared" si="68"/>
        <v>255</v>
      </c>
      <c r="J120" s="29" t="str">
        <f t="shared" si="69"/>
        <v>FF</v>
      </c>
      <c r="K120" s="19" t="str">
        <f t="shared" si="70"/>
        <v>FF</v>
      </c>
      <c r="L120" s="19" t="str">
        <f t="shared" si="71"/>
        <v>FF</v>
      </c>
      <c r="M120" s="30" t="str">
        <f t="shared" si="72"/>
        <v>FF</v>
      </c>
      <c r="N120" s="22" t="str">
        <f t="shared" si="55"/>
        <v>ÿ</v>
      </c>
      <c r="O120" s="19" t="str">
        <f t="shared" si="52"/>
        <v>ÿ</v>
      </c>
      <c r="P120" s="19" t="str">
        <f t="shared" si="53"/>
        <v>ÿ</v>
      </c>
      <c r="Q120" s="61" t="str">
        <f t="shared" si="54"/>
        <v>ÿ</v>
      </c>
      <c r="R120" s="64" t="str">
        <f t="shared" si="51"/>
        <v>ÿÿÿÿ</v>
      </c>
    </row>
    <row r="121" spans="1:18" x14ac:dyDescent="0.25">
      <c r="A121" s="48"/>
      <c r="B121" s="55" t="str">
        <f>Drive!C104</f>
        <v>DEFAULT_RESERVED_DRIVE</v>
      </c>
      <c r="C121" s="51" t="str">
        <f>Drive!B104</f>
        <v>3F9D8</v>
      </c>
      <c r="D121" s="23">
        <f>Drive!D104</f>
        <v>4294967295</v>
      </c>
      <c r="E121" s="21" t="str">
        <f t="shared" si="64"/>
        <v>FFFFFFFF</v>
      </c>
      <c r="F121" s="31">
        <f t="shared" si="65"/>
        <v>255</v>
      </c>
      <c r="G121" s="18">
        <f t="shared" si="66"/>
        <v>255</v>
      </c>
      <c r="H121" s="18">
        <f t="shared" si="67"/>
        <v>255</v>
      </c>
      <c r="I121" s="32">
        <f t="shared" si="68"/>
        <v>255</v>
      </c>
      <c r="J121" s="31" t="str">
        <f t="shared" si="69"/>
        <v>FF</v>
      </c>
      <c r="K121" s="18" t="str">
        <f t="shared" si="70"/>
        <v>FF</v>
      </c>
      <c r="L121" s="18" t="str">
        <f t="shared" si="71"/>
        <v>FF</v>
      </c>
      <c r="M121" s="32" t="str">
        <f t="shared" si="72"/>
        <v>FF</v>
      </c>
      <c r="N121" s="23" t="str">
        <f t="shared" si="55"/>
        <v>ÿ</v>
      </c>
      <c r="O121" s="18" t="str">
        <f t="shared" si="52"/>
        <v>ÿ</v>
      </c>
      <c r="P121" s="18" t="str">
        <f t="shared" si="53"/>
        <v>ÿ</v>
      </c>
      <c r="Q121" s="65" t="str">
        <f t="shared" si="54"/>
        <v>ÿ</v>
      </c>
      <c r="R121" s="2" t="str">
        <f t="shared" si="51"/>
        <v>ÿÿÿÿ</v>
      </c>
    </row>
    <row r="122" spans="1:18" x14ac:dyDescent="0.25">
      <c r="A122" s="47"/>
      <c r="B122" s="56" t="str">
        <f>Drive!C105</f>
        <v>DEFAULT_RESERVED_DRIVE</v>
      </c>
      <c r="C122" s="52" t="str">
        <f>Drive!B105</f>
        <v>3F9DC</v>
      </c>
      <c r="D122" s="22">
        <f>Drive!D105</f>
        <v>4294967295</v>
      </c>
      <c r="E122" s="25" t="str">
        <f t="shared" si="64"/>
        <v>FFFFFFFF</v>
      </c>
      <c r="F122" s="29">
        <f t="shared" si="65"/>
        <v>255</v>
      </c>
      <c r="G122" s="19">
        <f t="shared" si="66"/>
        <v>255</v>
      </c>
      <c r="H122" s="19">
        <f t="shared" si="67"/>
        <v>255</v>
      </c>
      <c r="I122" s="30">
        <f t="shared" si="68"/>
        <v>255</v>
      </c>
      <c r="J122" s="29" t="str">
        <f t="shared" si="69"/>
        <v>FF</v>
      </c>
      <c r="K122" s="19" t="str">
        <f t="shared" si="70"/>
        <v>FF</v>
      </c>
      <c r="L122" s="19" t="str">
        <f t="shared" si="71"/>
        <v>FF</v>
      </c>
      <c r="M122" s="30" t="str">
        <f t="shared" si="72"/>
        <v>FF</v>
      </c>
      <c r="N122" s="22" t="str">
        <f t="shared" si="55"/>
        <v>ÿ</v>
      </c>
      <c r="O122" s="19" t="str">
        <f t="shared" si="52"/>
        <v>ÿ</v>
      </c>
      <c r="P122" s="19" t="str">
        <f t="shared" si="53"/>
        <v>ÿ</v>
      </c>
      <c r="Q122" s="61" t="str">
        <f t="shared" si="54"/>
        <v>ÿ</v>
      </c>
      <c r="R122" s="64" t="str">
        <f t="shared" si="51"/>
        <v>ÿÿÿÿ</v>
      </c>
    </row>
    <row r="123" spans="1:18" x14ac:dyDescent="0.25">
      <c r="A123" s="48"/>
      <c r="B123" s="55" t="str">
        <f>Drive!C106</f>
        <v>DEFAULT_RESERVED_DRIVE</v>
      </c>
      <c r="C123" s="51" t="str">
        <f>Drive!B106</f>
        <v>3F9E0</v>
      </c>
      <c r="D123" s="23">
        <f>Drive!D106</f>
        <v>4294967295</v>
      </c>
      <c r="E123" s="21" t="str">
        <f t="shared" si="64"/>
        <v>FFFFFFFF</v>
      </c>
      <c r="F123" s="31">
        <f t="shared" si="65"/>
        <v>255</v>
      </c>
      <c r="G123" s="18">
        <f t="shared" si="66"/>
        <v>255</v>
      </c>
      <c r="H123" s="18">
        <f t="shared" si="67"/>
        <v>255</v>
      </c>
      <c r="I123" s="32">
        <f t="shared" si="68"/>
        <v>255</v>
      </c>
      <c r="J123" s="31" t="str">
        <f t="shared" si="69"/>
        <v>FF</v>
      </c>
      <c r="K123" s="18" t="str">
        <f t="shared" si="70"/>
        <v>FF</v>
      </c>
      <c r="L123" s="18" t="str">
        <f t="shared" si="71"/>
        <v>FF</v>
      </c>
      <c r="M123" s="32" t="str">
        <f t="shared" si="72"/>
        <v>FF</v>
      </c>
      <c r="N123" s="23" t="str">
        <f t="shared" si="55"/>
        <v>ÿ</v>
      </c>
      <c r="O123" s="18" t="str">
        <f t="shared" si="52"/>
        <v>ÿ</v>
      </c>
      <c r="P123" s="18" t="str">
        <f t="shared" si="53"/>
        <v>ÿ</v>
      </c>
      <c r="Q123" s="65" t="str">
        <f t="shared" si="54"/>
        <v>ÿ</v>
      </c>
      <c r="R123" s="2" t="str">
        <f t="shared" si="51"/>
        <v>ÿÿÿÿ</v>
      </c>
    </row>
    <row r="124" spans="1:18" x14ac:dyDescent="0.25">
      <c r="A124" s="47"/>
      <c r="B124" s="56" t="str">
        <f>Drive!C107</f>
        <v>DEFAULT_RESERVED_DRIVE</v>
      </c>
      <c r="C124" s="52" t="str">
        <f>Drive!B107</f>
        <v>3F9E4</v>
      </c>
      <c r="D124" s="22">
        <f>Drive!D107</f>
        <v>4294967295</v>
      </c>
      <c r="E124" s="25" t="str">
        <f t="shared" si="64"/>
        <v>FFFFFFFF</v>
      </c>
      <c r="F124" s="29">
        <f t="shared" si="65"/>
        <v>255</v>
      </c>
      <c r="G124" s="19">
        <f t="shared" si="66"/>
        <v>255</v>
      </c>
      <c r="H124" s="19">
        <f t="shared" si="67"/>
        <v>255</v>
      </c>
      <c r="I124" s="30">
        <f t="shared" si="68"/>
        <v>255</v>
      </c>
      <c r="J124" s="29" t="str">
        <f t="shared" si="69"/>
        <v>FF</v>
      </c>
      <c r="K124" s="19" t="str">
        <f t="shared" si="70"/>
        <v>FF</v>
      </c>
      <c r="L124" s="19" t="str">
        <f t="shared" si="71"/>
        <v>FF</v>
      </c>
      <c r="M124" s="30" t="str">
        <f t="shared" si="72"/>
        <v>FF</v>
      </c>
      <c r="N124" s="22" t="str">
        <f t="shared" si="55"/>
        <v>ÿ</v>
      </c>
      <c r="O124" s="19" t="str">
        <f t="shared" si="52"/>
        <v>ÿ</v>
      </c>
      <c r="P124" s="19" t="str">
        <f t="shared" si="53"/>
        <v>ÿ</v>
      </c>
      <c r="Q124" s="61" t="str">
        <f t="shared" si="54"/>
        <v>ÿ</v>
      </c>
      <c r="R124" s="64" t="str">
        <f t="shared" si="51"/>
        <v>ÿÿÿÿ</v>
      </c>
    </row>
    <row r="125" spans="1:18" x14ac:dyDescent="0.25">
      <c r="A125" s="48"/>
      <c r="B125" s="55" t="str">
        <f>Drive!C108</f>
        <v>DEFAULT_RESERVED_DRIVE</v>
      </c>
      <c r="C125" s="51" t="str">
        <f>Drive!B108</f>
        <v>3F9E8</v>
      </c>
      <c r="D125" s="23">
        <f>Drive!D108</f>
        <v>4294967295</v>
      </c>
      <c r="E125" s="21" t="str">
        <f t="shared" si="64"/>
        <v>FFFFFFFF</v>
      </c>
      <c r="F125" s="31">
        <f t="shared" si="65"/>
        <v>255</v>
      </c>
      <c r="G125" s="18">
        <f t="shared" si="66"/>
        <v>255</v>
      </c>
      <c r="H125" s="18">
        <f t="shared" si="67"/>
        <v>255</v>
      </c>
      <c r="I125" s="32">
        <f t="shared" si="68"/>
        <v>255</v>
      </c>
      <c r="J125" s="31" t="str">
        <f t="shared" si="69"/>
        <v>FF</v>
      </c>
      <c r="K125" s="18" t="str">
        <f t="shared" si="70"/>
        <v>FF</v>
      </c>
      <c r="L125" s="18" t="str">
        <f t="shared" si="71"/>
        <v>FF</v>
      </c>
      <c r="M125" s="32" t="str">
        <f t="shared" si="72"/>
        <v>FF</v>
      </c>
      <c r="N125" s="23" t="str">
        <f t="shared" si="55"/>
        <v>ÿ</v>
      </c>
      <c r="O125" s="18" t="str">
        <f t="shared" si="52"/>
        <v>ÿ</v>
      </c>
      <c r="P125" s="18" t="str">
        <f t="shared" si="53"/>
        <v>ÿ</v>
      </c>
      <c r="Q125" s="65" t="str">
        <f t="shared" si="54"/>
        <v>ÿ</v>
      </c>
      <c r="R125" s="2" t="str">
        <f t="shared" si="51"/>
        <v>ÿÿÿÿ</v>
      </c>
    </row>
    <row r="126" spans="1:18" x14ac:dyDescent="0.25">
      <c r="A126" s="47"/>
      <c r="B126" s="56" t="str">
        <f>Drive!C109</f>
        <v>DEFAULT_RESERVED_DRIVE</v>
      </c>
      <c r="C126" s="52" t="str">
        <f>Drive!B109</f>
        <v>3F9EC</v>
      </c>
      <c r="D126" s="22">
        <f>Drive!D109</f>
        <v>4294967295</v>
      </c>
      <c r="E126" s="25" t="str">
        <f t="shared" si="64"/>
        <v>FFFFFFFF</v>
      </c>
      <c r="F126" s="29">
        <f t="shared" si="65"/>
        <v>255</v>
      </c>
      <c r="G126" s="19">
        <f t="shared" si="66"/>
        <v>255</v>
      </c>
      <c r="H126" s="19">
        <f t="shared" si="67"/>
        <v>255</v>
      </c>
      <c r="I126" s="30">
        <f t="shared" si="68"/>
        <v>255</v>
      </c>
      <c r="J126" s="29" t="str">
        <f t="shared" si="69"/>
        <v>FF</v>
      </c>
      <c r="K126" s="19" t="str">
        <f t="shared" si="70"/>
        <v>FF</v>
      </c>
      <c r="L126" s="19" t="str">
        <f t="shared" si="71"/>
        <v>FF</v>
      </c>
      <c r="M126" s="30" t="str">
        <f t="shared" si="72"/>
        <v>FF</v>
      </c>
      <c r="N126" s="22" t="str">
        <f t="shared" si="55"/>
        <v>ÿ</v>
      </c>
      <c r="O126" s="19" t="str">
        <f t="shared" si="52"/>
        <v>ÿ</v>
      </c>
      <c r="P126" s="19" t="str">
        <f t="shared" si="53"/>
        <v>ÿ</v>
      </c>
      <c r="Q126" s="61" t="str">
        <f t="shared" si="54"/>
        <v>ÿ</v>
      </c>
      <c r="R126" s="64" t="str">
        <f t="shared" si="51"/>
        <v>ÿÿÿÿ</v>
      </c>
    </row>
    <row r="127" spans="1:18" x14ac:dyDescent="0.25">
      <c r="A127" s="48"/>
      <c r="B127" s="55" t="str">
        <f>Drive!C110</f>
        <v>DEFAULT_RESERVED_DRIVE</v>
      </c>
      <c r="C127" s="51" t="str">
        <f>Drive!B110</f>
        <v>3F9F0</v>
      </c>
      <c r="D127" s="23">
        <f>Drive!D110</f>
        <v>4294967295</v>
      </c>
      <c r="E127" s="21" t="str">
        <f t="shared" si="64"/>
        <v>FFFFFFFF</v>
      </c>
      <c r="F127" s="31">
        <f t="shared" si="65"/>
        <v>255</v>
      </c>
      <c r="G127" s="18">
        <f t="shared" si="66"/>
        <v>255</v>
      </c>
      <c r="H127" s="18">
        <f t="shared" si="67"/>
        <v>255</v>
      </c>
      <c r="I127" s="32">
        <f t="shared" si="68"/>
        <v>255</v>
      </c>
      <c r="J127" s="31" t="str">
        <f t="shared" si="69"/>
        <v>FF</v>
      </c>
      <c r="K127" s="18" t="str">
        <f t="shared" si="70"/>
        <v>FF</v>
      </c>
      <c r="L127" s="18" t="str">
        <f t="shared" si="71"/>
        <v>FF</v>
      </c>
      <c r="M127" s="32" t="str">
        <f t="shared" si="72"/>
        <v>FF</v>
      </c>
      <c r="N127" s="23" t="str">
        <f t="shared" si="55"/>
        <v>ÿ</v>
      </c>
      <c r="O127" s="18" t="str">
        <f t="shared" si="52"/>
        <v>ÿ</v>
      </c>
      <c r="P127" s="18" t="str">
        <f t="shared" si="53"/>
        <v>ÿ</v>
      </c>
      <c r="Q127" s="65" t="str">
        <f t="shared" si="54"/>
        <v>ÿ</v>
      </c>
      <c r="R127" s="2" t="str">
        <f t="shared" si="51"/>
        <v>ÿÿÿÿ</v>
      </c>
    </row>
    <row r="128" spans="1:18" x14ac:dyDescent="0.25">
      <c r="A128" s="47"/>
      <c r="B128" s="56" t="str">
        <f>Drive!C111</f>
        <v>DEFAULT_RESERVED_DRIVE</v>
      </c>
      <c r="C128" s="52" t="str">
        <f>Drive!B111</f>
        <v>3F9F4</v>
      </c>
      <c r="D128" s="22">
        <f>Drive!D111</f>
        <v>4294967295</v>
      </c>
      <c r="E128" s="25" t="str">
        <f t="shared" si="64"/>
        <v>FFFFFFFF</v>
      </c>
      <c r="F128" s="29">
        <f t="shared" si="65"/>
        <v>255</v>
      </c>
      <c r="G128" s="19">
        <f t="shared" si="66"/>
        <v>255</v>
      </c>
      <c r="H128" s="19">
        <f t="shared" si="67"/>
        <v>255</v>
      </c>
      <c r="I128" s="30">
        <f t="shared" si="68"/>
        <v>255</v>
      </c>
      <c r="J128" s="29" t="str">
        <f t="shared" si="69"/>
        <v>FF</v>
      </c>
      <c r="K128" s="19" t="str">
        <f t="shared" si="70"/>
        <v>FF</v>
      </c>
      <c r="L128" s="19" t="str">
        <f t="shared" si="71"/>
        <v>FF</v>
      </c>
      <c r="M128" s="30" t="str">
        <f t="shared" si="72"/>
        <v>FF</v>
      </c>
      <c r="N128" s="22" t="str">
        <f t="shared" si="55"/>
        <v>ÿ</v>
      </c>
      <c r="O128" s="19" t="str">
        <f t="shared" si="52"/>
        <v>ÿ</v>
      </c>
      <c r="P128" s="19" t="str">
        <f t="shared" si="53"/>
        <v>ÿ</v>
      </c>
      <c r="Q128" s="61" t="str">
        <f t="shared" si="54"/>
        <v>ÿ</v>
      </c>
      <c r="R128" s="64" t="str">
        <f t="shared" si="51"/>
        <v>ÿÿÿÿ</v>
      </c>
    </row>
    <row r="129" spans="1:18" x14ac:dyDescent="0.25">
      <c r="A129" s="48"/>
      <c r="B129" s="55" t="str">
        <f>Drive!C112</f>
        <v>DEFAULT_RESERVED_DRIVE</v>
      </c>
      <c r="C129" s="51" t="str">
        <f>Drive!B112</f>
        <v>3F9F8</v>
      </c>
      <c r="D129" s="23">
        <f>Drive!D112</f>
        <v>4294967295</v>
      </c>
      <c r="E129" s="21" t="str">
        <f t="shared" si="64"/>
        <v>FFFFFFFF</v>
      </c>
      <c r="F129" s="31">
        <f t="shared" si="65"/>
        <v>255</v>
      </c>
      <c r="G129" s="18">
        <f t="shared" si="66"/>
        <v>255</v>
      </c>
      <c r="H129" s="18">
        <f t="shared" si="67"/>
        <v>255</v>
      </c>
      <c r="I129" s="32">
        <f t="shared" si="68"/>
        <v>255</v>
      </c>
      <c r="J129" s="31" t="str">
        <f t="shared" si="69"/>
        <v>FF</v>
      </c>
      <c r="K129" s="18" t="str">
        <f t="shared" si="70"/>
        <v>FF</v>
      </c>
      <c r="L129" s="18" t="str">
        <f t="shared" si="71"/>
        <v>FF</v>
      </c>
      <c r="M129" s="32" t="str">
        <f t="shared" si="72"/>
        <v>FF</v>
      </c>
      <c r="N129" s="23" t="str">
        <f t="shared" si="55"/>
        <v>ÿ</v>
      </c>
      <c r="O129" s="18" t="str">
        <f t="shared" si="52"/>
        <v>ÿ</v>
      </c>
      <c r="P129" s="18" t="str">
        <f t="shared" si="53"/>
        <v>ÿ</v>
      </c>
      <c r="Q129" s="65" t="str">
        <f t="shared" si="54"/>
        <v>ÿ</v>
      </c>
      <c r="R129" s="2" t="str">
        <f t="shared" si="51"/>
        <v>ÿÿÿÿ</v>
      </c>
    </row>
    <row r="130" spans="1:18" x14ac:dyDescent="0.25">
      <c r="A130" s="47"/>
      <c r="B130" s="56" t="str">
        <f>Drive!C113</f>
        <v>DEFAULT_RESERVED_DRIVE</v>
      </c>
      <c r="C130" s="52" t="str">
        <f>Drive!B113</f>
        <v>3F9FC</v>
      </c>
      <c r="D130" s="22">
        <f>Drive!D113</f>
        <v>4294967295</v>
      </c>
      <c r="E130" s="25" t="str">
        <f t="shared" si="64"/>
        <v>FFFFFFFF</v>
      </c>
      <c r="F130" s="29">
        <f t="shared" si="65"/>
        <v>255</v>
      </c>
      <c r="G130" s="19">
        <f t="shared" si="66"/>
        <v>255</v>
      </c>
      <c r="H130" s="19">
        <f t="shared" si="67"/>
        <v>255</v>
      </c>
      <c r="I130" s="30">
        <f t="shared" si="68"/>
        <v>255</v>
      </c>
      <c r="J130" s="29" t="str">
        <f t="shared" si="69"/>
        <v>FF</v>
      </c>
      <c r="K130" s="19" t="str">
        <f t="shared" si="70"/>
        <v>FF</v>
      </c>
      <c r="L130" s="19" t="str">
        <f t="shared" si="71"/>
        <v>FF</v>
      </c>
      <c r="M130" s="30" t="str">
        <f t="shared" si="72"/>
        <v>FF</v>
      </c>
      <c r="N130" s="22" t="str">
        <f t="shared" si="55"/>
        <v>ÿ</v>
      </c>
      <c r="O130" s="19" t="str">
        <f t="shared" si="52"/>
        <v>ÿ</v>
      </c>
      <c r="P130" s="19" t="str">
        <f t="shared" si="53"/>
        <v>ÿ</v>
      </c>
      <c r="Q130" s="61" t="str">
        <f t="shared" si="54"/>
        <v>ÿ</v>
      </c>
      <c r="R130" s="64" t="str">
        <f t="shared" si="51"/>
        <v>ÿÿÿÿ</v>
      </c>
    </row>
    <row r="131" spans="1:18" x14ac:dyDescent="0.25">
      <c r="A131" s="48"/>
      <c r="B131" s="55" t="str">
        <f>Drive!C114</f>
        <v>DEFAULT_RESERVED_DRIVE</v>
      </c>
      <c r="C131" s="51" t="str">
        <f>Drive!B114</f>
        <v>3FA00</v>
      </c>
      <c r="D131" s="23">
        <f>Drive!D114</f>
        <v>4294967295</v>
      </c>
      <c r="E131" s="21" t="str">
        <f t="shared" si="64"/>
        <v>FFFFFFFF</v>
      </c>
      <c r="F131" s="31">
        <f t="shared" si="65"/>
        <v>255</v>
      </c>
      <c r="G131" s="18">
        <f t="shared" si="66"/>
        <v>255</v>
      </c>
      <c r="H131" s="18">
        <f t="shared" si="67"/>
        <v>255</v>
      </c>
      <c r="I131" s="32">
        <f t="shared" si="68"/>
        <v>255</v>
      </c>
      <c r="J131" s="31" t="str">
        <f t="shared" si="69"/>
        <v>FF</v>
      </c>
      <c r="K131" s="18" t="str">
        <f t="shared" si="70"/>
        <v>FF</v>
      </c>
      <c r="L131" s="18" t="str">
        <f t="shared" si="71"/>
        <v>FF</v>
      </c>
      <c r="M131" s="32" t="str">
        <f t="shared" si="72"/>
        <v>FF</v>
      </c>
      <c r="N131" s="23" t="str">
        <f t="shared" si="55"/>
        <v>ÿ</v>
      </c>
      <c r="O131" s="18" t="str">
        <f t="shared" si="52"/>
        <v>ÿ</v>
      </c>
      <c r="P131" s="18" t="str">
        <f t="shared" si="53"/>
        <v>ÿ</v>
      </c>
      <c r="Q131" s="65" t="str">
        <f t="shared" si="54"/>
        <v>ÿ</v>
      </c>
      <c r="R131" s="2" t="str">
        <f t="shared" si="51"/>
        <v>ÿÿÿÿ</v>
      </c>
    </row>
    <row r="132" spans="1:18" x14ac:dyDescent="0.25">
      <c r="A132" s="47"/>
      <c r="B132" s="56" t="str">
        <f>Drive!C115</f>
        <v>DEFAULT_RESERVED_DRIVE</v>
      </c>
      <c r="C132" s="52" t="str">
        <f>Drive!B115</f>
        <v>3FA04</v>
      </c>
      <c r="D132" s="22">
        <f>Drive!D115</f>
        <v>4294967295</v>
      </c>
      <c r="E132" s="25" t="str">
        <f t="shared" si="64"/>
        <v>FFFFFFFF</v>
      </c>
      <c r="F132" s="29">
        <f t="shared" si="65"/>
        <v>255</v>
      </c>
      <c r="G132" s="19">
        <f t="shared" si="66"/>
        <v>255</v>
      </c>
      <c r="H132" s="19">
        <f t="shared" si="67"/>
        <v>255</v>
      </c>
      <c r="I132" s="30">
        <f t="shared" si="68"/>
        <v>255</v>
      </c>
      <c r="J132" s="29" t="str">
        <f t="shared" si="69"/>
        <v>FF</v>
      </c>
      <c r="K132" s="19" t="str">
        <f t="shared" si="70"/>
        <v>FF</v>
      </c>
      <c r="L132" s="19" t="str">
        <f t="shared" si="71"/>
        <v>FF</v>
      </c>
      <c r="M132" s="30" t="str">
        <f t="shared" si="72"/>
        <v>FF</v>
      </c>
      <c r="N132" s="22" t="str">
        <f t="shared" si="55"/>
        <v>ÿ</v>
      </c>
      <c r="O132" s="19" t="str">
        <f t="shared" si="52"/>
        <v>ÿ</v>
      </c>
      <c r="P132" s="19" t="str">
        <f t="shared" si="53"/>
        <v>ÿ</v>
      </c>
      <c r="Q132" s="61" t="str">
        <f t="shared" si="54"/>
        <v>ÿ</v>
      </c>
      <c r="R132" s="64" t="str">
        <f t="shared" si="51"/>
        <v>ÿÿÿÿ</v>
      </c>
    </row>
    <row r="133" spans="1:18" x14ac:dyDescent="0.25">
      <c r="A133" s="48"/>
      <c r="B133" s="55" t="str">
        <f>Drive!C116</f>
        <v>DEFAULT_RESERVED_DRIVE</v>
      </c>
      <c r="C133" s="51" t="str">
        <f>Drive!B116</f>
        <v>3FA08</v>
      </c>
      <c r="D133" s="23">
        <f>Drive!D116</f>
        <v>4294967295</v>
      </c>
      <c r="E133" s="21" t="str">
        <f t="shared" si="64"/>
        <v>FFFFFFFF</v>
      </c>
      <c r="F133" s="31">
        <f t="shared" si="65"/>
        <v>255</v>
      </c>
      <c r="G133" s="18">
        <f t="shared" si="66"/>
        <v>255</v>
      </c>
      <c r="H133" s="18">
        <f t="shared" si="67"/>
        <v>255</v>
      </c>
      <c r="I133" s="32">
        <f t="shared" si="68"/>
        <v>255</v>
      </c>
      <c r="J133" s="31" t="str">
        <f t="shared" si="69"/>
        <v>FF</v>
      </c>
      <c r="K133" s="18" t="str">
        <f t="shared" si="70"/>
        <v>FF</v>
      </c>
      <c r="L133" s="18" t="str">
        <f t="shared" si="71"/>
        <v>FF</v>
      </c>
      <c r="M133" s="32" t="str">
        <f t="shared" si="72"/>
        <v>FF</v>
      </c>
      <c r="N133" s="23" t="str">
        <f t="shared" si="55"/>
        <v>ÿ</v>
      </c>
      <c r="O133" s="18" t="str">
        <f t="shared" si="52"/>
        <v>ÿ</v>
      </c>
      <c r="P133" s="18" t="str">
        <f t="shared" si="53"/>
        <v>ÿ</v>
      </c>
      <c r="Q133" s="65" t="str">
        <f t="shared" si="54"/>
        <v>ÿ</v>
      </c>
      <c r="R133" s="2" t="str">
        <f t="shared" si="51"/>
        <v>ÿÿÿÿ</v>
      </c>
    </row>
    <row r="134" spans="1:18" x14ac:dyDescent="0.25">
      <c r="A134" s="47"/>
      <c r="B134" s="56" t="str">
        <f>Drive!C117</f>
        <v>DEFAULT_RESERVED_DRIVE</v>
      </c>
      <c r="C134" s="52" t="str">
        <f>Drive!B117</f>
        <v>3FA0C</v>
      </c>
      <c r="D134" s="22">
        <f>Drive!D117</f>
        <v>4294967295</v>
      </c>
      <c r="E134" s="25" t="str">
        <f t="shared" si="64"/>
        <v>FFFFFFFF</v>
      </c>
      <c r="F134" s="29">
        <f t="shared" si="65"/>
        <v>255</v>
      </c>
      <c r="G134" s="19">
        <f t="shared" si="66"/>
        <v>255</v>
      </c>
      <c r="H134" s="19">
        <f t="shared" si="67"/>
        <v>255</v>
      </c>
      <c r="I134" s="30">
        <f t="shared" si="68"/>
        <v>255</v>
      </c>
      <c r="J134" s="29" t="str">
        <f t="shared" si="69"/>
        <v>FF</v>
      </c>
      <c r="K134" s="19" t="str">
        <f t="shared" si="70"/>
        <v>FF</v>
      </c>
      <c r="L134" s="19" t="str">
        <f t="shared" si="71"/>
        <v>FF</v>
      </c>
      <c r="M134" s="30" t="str">
        <f t="shared" si="72"/>
        <v>FF</v>
      </c>
      <c r="N134" s="22" t="str">
        <f t="shared" si="55"/>
        <v>ÿ</v>
      </c>
      <c r="O134" s="19" t="str">
        <f t="shared" si="52"/>
        <v>ÿ</v>
      </c>
      <c r="P134" s="19" t="str">
        <f t="shared" si="53"/>
        <v>ÿ</v>
      </c>
      <c r="Q134" s="61" t="str">
        <f t="shared" si="54"/>
        <v>ÿ</v>
      </c>
      <c r="R134" s="64" t="str">
        <f t="shared" si="51"/>
        <v>ÿÿÿÿ</v>
      </c>
    </row>
    <row r="135" spans="1:18" x14ac:dyDescent="0.25">
      <c r="A135" s="48"/>
      <c r="B135" s="55" t="str">
        <f>Drive!C118</f>
        <v>DEFAULT_RESERVED_DRIVE</v>
      </c>
      <c r="C135" s="51" t="str">
        <f>Drive!B118</f>
        <v>3FA10</v>
      </c>
      <c r="D135" s="23">
        <f>Drive!D118</f>
        <v>4294967295</v>
      </c>
      <c r="E135" s="21" t="str">
        <f t="shared" si="64"/>
        <v>FFFFFFFF</v>
      </c>
      <c r="F135" s="31">
        <f t="shared" si="65"/>
        <v>255</v>
      </c>
      <c r="G135" s="18">
        <f t="shared" si="66"/>
        <v>255</v>
      </c>
      <c r="H135" s="18">
        <f t="shared" si="67"/>
        <v>255</v>
      </c>
      <c r="I135" s="32">
        <f t="shared" si="68"/>
        <v>255</v>
      </c>
      <c r="J135" s="31" t="str">
        <f t="shared" si="69"/>
        <v>FF</v>
      </c>
      <c r="K135" s="18" t="str">
        <f t="shared" si="70"/>
        <v>FF</v>
      </c>
      <c r="L135" s="18" t="str">
        <f t="shared" si="71"/>
        <v>FF</v>
      </c>
      <c r="M135" s="32" t="str">
        <f t="shared" si="72"/>
        <v>FF</v>
      </c>
      <c r="N135" s="23" t="str">
        <f t="shared" si="55"/>
        <v>ÿ</v>
      </c>
      <c r="O135" s="18" t="str">
        <f t="shared" si="52"/>
        <v>ÿ</v>
      </c>
      <c r="P135" s="18" t="str">
        <f t="shared" si="53"/>
        <v>ÿ</v>
      </c>
      <c r="Q135" s="65" t="str">
        <f t="shared" si="54"/>
        <v>ÿ</v>
      </c>
      <c r="R135" s="2" t="str">
        <f t="shared" si="51"/>
        <v>ÿÿÿÿ</v>
      </c>
    </row>
    <row r="136" spans="1:18" x14ac:dyDescent="0.25">
      <c r="A136" s="47"/>
      <c r="B136" s="56" t="str">
        <f>Drive!C119</f>
        <v>DEFAULT_RESERVED_DRIVE</v>
      </c>
      <c r="C136" s="52" t="str">
        <f>Drive!B119</f>
        <v>3FA14</v>
      </c>
      <c r="D136" s="22">
        <f>Drive!D119</f>
        <v>4294967295</v>
      </c>
      <c r="E136" s="25" t="str">
        <f t="shared" si="64"/>
        <v>FFFFFFFF</v>
      </c>
      <c r="F136" s="29">
        <f t="shared" si="65"/>
        <v>255</v>
      </c>
      <c r="G136" s="19">
        <f t="shared" si="66"/>
        <v>255</v>
      </c>
      <c r="H136" s="19">
        <f t="shared" si="67"/>
        <v>255</v>
      </c>
      <c r="I136" s="30">
        <f t="shared" si="68"/>
        <v>255</v>
      </c>
      <c r="J136" s="29" t="str">
        <f t="shared" si="69"/>
        <v>FF</v>
      </c>
      <c r="K136" s="19" t="str">
        <f t="shared" si="70"/>
        <v>FF</v>
      </c>
      <c r="L136" s="19" t="str">
        <f t="shared" si="71"/>
        <v>FF</v>
      </c>
      <c r="M136" s="30" t="str">
        <f t="shared" si="72"/>
        <v>FF</v>
      </c>
      <c r="N136" s="22" t="str">
        <f t="shared" si="55"/>
        <v>ÿ</v>
      </c>
      <c r="O136" s="19" t="str">
        <f t="shared" si="52"/>
        <v>ÿ</v>
      </c>
      <c r="P136" s="19" t="str">
        <f t="shared" si="53"/>
        <v>ÿ</v>
      </c>
      <c r="Q136" s="61" t="str">
        <f t="shared" si="54"/>
        <v>ÿ</v>
      </c>
      <c r="R136" s="64" t="str">
        <f t="shared" si="51"/>
        <v>ÿÿÿÿ</v>
      </c>
    </row>
    <row r="137" spans="1:18" x14ac:dyDescent="0.25">
      <c r="A137" s="48"/>
      <c r="B137" s="55" t="str">
        <f>Drive!C120</f>
        <v>DEFAULT_RESERVED_DRIVE</v>
      </c>
      <c r="C137" s="51" t="str">
        <f>Drive!B120</f>
        <v>3FA18</v>
      </c>
      <c r="D137" s="23">
        <f>Drive!D120</f>
        <v>4294967295</v>
      </c>
      <c r="E137" s="21" t="str">
        <f t="shared" si="64"/>
        <v>FFFFFFFF</v>
      </c>
      <c r="F137" s="31">
        <f t="shared" si="65"/>
        <v>255</v>
      </c>
      <c r="G137" s="18">
        <f t="shared" si="66"/>
        <v>255</v>
      </c>
      <c r="H137" s="18">
        <f t="shared" si="67"/>
        <v>255</v>
      </c>
      <c r="I137" s="32">
        <f t="shared" si="68"/>
        <v>255</v>
      </c>
      <c r="J137" s="31" t="str">
        <f t="shared" si="69"/>
        <v>FF</v>
      </c>
      <c r="K137" s="18" t="str">
        <f t="shared" si="70"/>
        <v>FF</v>
      </c>
      <c r="L137" s="18" t="str">
        <f t="shared" si="71"/>
        <v>FF</v>
      </c>
      <c r="M137" s="32" t="str">
        <f t="shared" si="72"/>
        <v>FF</v>
      </c>
      <c r="N137" s="23" t="str">
        <f t="shared" si="55"/>
        <v>ÿ</v>
      </c>
      <c r="O137" s="18" t="str">
        <f t="shared" si="52"/>
        <v>ÿ</v>
      </c>
      <c r="P137" s="18" t="str">
        <f t="shared" si="53"/>
        <v>ÿ</v>
      </c>
      <c r="Q137" s="65" t="str">
        <f t="shared" si="54"/>
        <v>ÿ</v>
      </c>
      <c r="R137" s="2" t="str">
        <f t="shared" si="51"/>
        <v>ÿÿÿÿ</v>
      </c>
    </row>
    <row r="138" spans="1:18" ht="15.75" thickBot="1" x14ac:dyDescent="0.3">
      <c r="A138" s="67"/>
      <c r="B138" s="58" t="str">
        <f>Drive!C121</f>
        <v>DEFAULT_RESERVED_DRIVE</v>
      </c>
      <c r="C138" s="68" t="str">
        <f>Drive!B121</f>
        <v>3FA1C</v>
      </c>
      <c r="D138" s="69">
        <f>Drive!D121</f>
        <v>4294967295</v>
      </c>
      <c r="E138" s="63" t="str">
        <f t="shared" si="64"/>
        <v>FFFFFFFF</v>
      </c>
      <c r="F138" s="62">
        <f t="shared" si="65"/>
        <v>255</v>
      </c>
      <c r="G138" s="70">
        <f t="shared" si="66"/>
        <v>255</v>
      </c>
      <c r="H138" s="70">
        <f t="shared" si="67"/>
        <v>255</v>
      </c>
      <c r="I138" s="71">
        <f t="shared" si="68"/>
        <v>255</v>
      </c>
      <c r="J138" s="62" t="str">
        <f t="shared" si="69"/>
        <v>FF</v>
      </c>
      <c r="K138" s="70" t="str">
        <f t="shared" si="70"/>
        <v>FF</v>
      </c>
      <c r="L138" s="70" t="str">
        <f t="shared" si="71"/>
        <v>FF</v>
      </c>
      <c r="M138" s="71" t="str">
        <f t="shared" si="72"/>
        <v>FF</v>
      </c>
      <c r="N138" s="69" t="str">
        <f t="shared" si="55"/>
        <v>ÿ</v>
      </c>
      <c r="O138" s="70" t="str">
        <f t="shared" si="52"/>
        <v>ÿ</v>
      </c>
      <c r="P138" s="70" t="str">
        <f t="shared" si="53"/>
        <v>ÿ</v>
      </c>
      <c r="Q138" s="72" t="str">
        <f t="shared" si="54"/>
        <v>ÿ</v>
      </c>
      <c r="R138" s="117" t="str">
        <f t="shared" si="51"/>
        <v>ÿÿÿÿ</v>
      </c>
    </row>
    <row r="139" spans="1:18" x14ac:dyDescent="0.25">
      <c r="A139" s="49"/>
      <c r="B139" s="57" t="str">
        <f>Motor!C2</f>
        <v>DEFAULT_MotorModelNumber1</v>
      </c>
      <c r="C139" s="4" t="str">
        <f>Motor!B2</f>
        <v>3FA20</v>
      </c>
      <c r="D139" s="113" t="str">
        <f>Motor!D2</f>
        <v>EC04</v>
      </c>
      <c r="E139" s="38" t="s">
        <v>114</v>
      </c>
      <c r="F139" s="39" t="s">
        <v>114</v>
      </c>
      <c r="G139" s="40" t="s">
        <v>114</v>
      </c>
      <c r="H139" s="40" t="s">
        <v>114</v>
      </c>
      <c r="I139" s="41" t="s">
        <v>114</v>
      </c>
      <c r="J139" s="37" t="str">
        <f>MID($D139,1,1)</f>
        <v>E</v>
      </c>
      <c r="K139" s="40" t="str">
        <f>MID($D139,2,1)</f>
        <v>C</v>
      </c>
      <c r="L139" s="40" t="str">
        <f>MID($D139,3,1)</f>
        <v>0</v>
      </c>
      <c r="M139" s="66" t="str">
        <f>MID($D139,4,1)</f>
        <v>4</v>
      </c>
      <c r="N139" s="37" t="str">
        <f>MID($D139,1,1)</f>
        <v>E</v>
      </c>
      <c r="O139" s="40" t="str">
        <f>MID($D139,2,1)</f>
        <v>C</v>
      </c>
      <c r="P139" s="40" t="str">
        <f>MID($D139,3,1)</f>
        <v>0</v>
      </c>
      <c r="Q139" s="66" t="str">
        <f>MID($D139,4,1)</f>
        <v>4</v>
      </c>
      <c r="R139" s="2" t="str">
        <f t="shared" si="51"/>
        <v>EC04</v>
      </c>
    </row>
    <row r="140" spans="1:18" x14ac:dyDescent="0.25">
      <c r="A140" s="47"/>
      <c r="B140" s="56" t="str">
        <f>Motor!C3</f>
        <v>DEFAULT_MotorModelNumber2</v>
      </c>
      <c r="C140" s="52" t="str">
        <f>Motor!B3</f>
        <v>3FA24</v>
      </c>
      <c r="D140" s="115" t="str">
        <f>Motor!D3</f>
        <v>2B-1</v>
      </c>
      <c r="E140" s="25" t="s">
        <v>114</v>
      </c>
      <c r="F140" s="29" t="s">
        <v>114</v>
      </c>
      <c r="G140" s="19" t="s">
        <v>114</v>
      </c>
      <c r="H140" s="19" t="s">
        <v>114</v>
      </c>
      <c r="I140" s="30" t="s">
        <v>114</v>
      </c>
      <c r="J140" s="22" t="str">
        <f>MID($D140,1,1)</f>
        <v>2</v>
      </c>
      <c r="K140" s="19" t="str">
        <f>MID($D140,2,1)</f>
        <v>B</v>
      </c>
      <c r="L140" s="19" t="str">
        <f>MID($D140,3,1)</f>
        <v>-</v>
      </c>
      <c r="M140" s="61" t="str">
        <f>MID($D140,4,1)</f>
        <v>1</v>
      </c>
      <c r="N140" s="22" t="str">
        <f>MID($D140,1,1)</f>
        <v>2</v>
      </c>
      <c r="O140" s="19" t="str">
        <f>MID($D140,2,1)</f>
        <v>B</v>
      </c>
      <c r="P140" s="19" t="str">
        <f>MID($D140,3,1)</f>
        <v>-</v>
      </c>
      <c r="Q140" s="61" t="str">
        <f>MID($D140,4,1)</f>
        <v>1</v>
      </c>
      <c r="R140" s="64" t="str">
        <f t="shared" si="51"/>
        <v>2B-1</v>
      </c>
    </row>
    <row r="141" spans="1:18" x14ac:dyDescent="0.25">
      <c r="A141" s="48"/>
      <c r="B141" s="55" t="str">
        <f>Motor!C4</f>
        <v>DEFAULT_MotorModelNumber3</v>
      </c>
      <c r="C141" s="51" t="str">
        <f>Motor!B4</f>
        <v>3FA28</v>
      </c>
      <c r="D141" s="114" t="str">
        <f>Motor!D4</f>
        <v>0H0-</v>
      </c>
      <c r="E141" s="21" t="s">
        <v>114</v>
      </c>
      <c r="F141" s="31" t="s">
        <v>114</v>
      </c>
      <c r="G141" s="18" t="s">
        <v>114</v>
      </c>
      <c r="H141" s="18" t="s">
        <v>114</v>
      </c>
      <c r="I141" s="32" t="s">
        <v>114</v>
      </c>
      <c r="J141" s="23" t="str">
        <f>MID($D141,1,1)</f>
        <v>0</v>
      </c>
      <c r="K141" s="18" t="str">
        <f>MID($D141,2,1)</f>
        <v>H</v>
      </c>
      <c r="L141" s="18" t="str">
        <f>MID($D141,3,1)</f>
        <v>0</v>
      </c>
      <c r="M141" s="65" t="str">
        <f>MID($D141,4,1)</f>
        <v>-</v>
      </c>
      <c r="N141" s="23" t="str">
        <f>MID($D141,1,1)</f>
        <v>0</v>
      </c>
      <c r="O141" s="18" t="str">
        <f>MID($D141,2,1)</f>
        <v>H</v>
      </c>
      <c r="P141" s="18" t="str">
        <f>MID($D141,3,1)</f>
        <v>0</v>
      </c>
      <c r="Q141" s="65" t="str">
        <f>MID($D141,4,1)</f>
        <v>-</v>
      </c>
      <c r="R141" s="2" t="str">
        <f t="shared" ref="R141:R195" si="73">_xlfn.CONCAT(N141,O141,P141,Q141)</f>
        <v>0H0-</v>
      </c>
    </row>
    <row r="142" spans="1:18" x14ac:dyDescent="0.25">
      <c r="A142" s="47"/>
      <c r="B142" s="56" t="str">
        <f>Motor!C5</f>
        <v>DEFAULT_MotorModelNumber4</v>
      </c>
      <c r="C142" s="52" t="str">
        <f>Motor!B5</f>
        <v>3FA2C</v>
      </c>
      <c r="D142" s="115" t="str">
        <f>Motor!D5</f>
        <v>805</v>
      </c>
      <c r="E142" s="25" t="s">
        <v>114</v>
      </c>
      <c r="F142" s="29" t="s">
        <v>114</v>
      </c>
      <c r="G142" s="19" t="s">
        <v>114</v>
      </c>
      <c r="H142" s="19" t="s">
        <v>114</v>
      </c>
      <c r="I142" s="30" t="s">
        <v>114</v>
      </c>
      <c r="J142" s="22" t="str">
        <f>MID($D142,1,1)</f>
        <v>8</v>
      </c>
      <c r="K142" s="19" t="str">
        <f>MID($D142,2,1)</f>
        <v>0</v>
      </c>
      <c r="L142" s="19" t="str">
        <f>MID($D142,3,1)</f>
        <v>5</v>
      </c>
      <c r="M142" s="61" t="str">
        <f>MID($D142,4,1)</f>
        <v/>
      </c>
      <c r="N142" s="22" t="str">
        <f>MID($D142,1,1)</f>
        <v>8</v>
      </c>
      <c r="O142" s="19" t="str">
        <f>MID($D142,2,1)</f>
        <v>0</v>
      </c>
      <c r="P142" s="19" t="str">
        <f>MID($D142,3,1)</f>
        <v>5</v>
      </c>
      <c r="Q142" s="61" t="str">
        <f>MID($D142,4,1)</f>
        <v/>
      </c>
      <c r="R142" s="64" t="str">
        <f t="shared" si="73"/>
        <v>805</v>
      </c>
    </row>
    <row r="143" spans="1:18" x14ac:dyDescent="0.25">
      <c r="A143" s="48"/>
      <c r="B143" s="55" t="str">
        <f>Motor!C6</f>
        <v>DEFAULT_MotorInductance_uH</v>
      </c>
      <c r="C143" s="51" t="str">
        <f>Motor!B6</f>
        <v>3FA30</v>
      </c>
      <c r="D143" s="23">
        <f>Motor!D6</f>
        <v>2530</v>
      </c>
      <c r="E143" s="21" t="str">
        <f t="shared" ref="E143:E170" si="74">IF(D143&gt;=0,DEC2HEX(D143),DEC2HEX(D143+ 2^32))</f>
        <v>9E2</v>
      </c>
      <c r="F143" s="31">
        <f t="shared" ref="F143:F148" si="75">IF(D143 &gt;= 0,TRUNC(D143/(2^24)),TRUNC((D143 + 2^32)/(2^24)))</f>
        <v>0</v>
      </c>
      <c r="G143" s="18">
        <f t="shared" ref="G143:G148" si="76">IF(D143&gt;=0,TRUNC((D143-(F143*2^24))/(2^16)),TRUNC(((D143+2^32)-(F143*2^24))/(2^16)))</f>
        <v>0</v>
      </c>
      <c r="H143" s="18">
        <f t="shared" ref="H143:H148" si="77">IF(D143&gt;=0,TRUNC((D143-((F143*2^24)+(G143*2^16)))/2^8),TRUNC(((D143 + 2^32)-((F143*2^24)+(G143*2^16)))/2^8))</f>
        <v>9</v>
      </c>
      <c r="I143" s="32">
        <f t="shared" ref="I143:I148" si="78">IF(D143&gt;=0,TRUNC((D143-((F143*2^24)+(G143*2^16)+(H143*2^8)))),TRUNC(((D143+2^32)-((F143*2^24)+(G143*2^16)+(H143*2^8)))))</f>
        <v>226</v>
      </c>
      <c r="J143" s="31" t="str">
        <f t="shared" ref="J143:J148" si="79">DEC2HEX(F143)</f>
        <v>0</v>
      </c>
      <c r="K143" s="18" t="str">
        <f t="shared" ref="K143:K148" si="80">DEC2HEX(G143)</f>
        <v>0</v>
      </c>
      <c r="L143" s="18" t="str">
        <f t="shared" ref="L143:L148" si="81">DEC2HEX(H143)</f>
        <v>9</v>
      </c>
      <c r="M143" s="32" t="str">
        <f t="shared" ref="M143:M148" si="82">DEC2HEX(I143)</f>
        <v>E2</v>
      </c>
      <c r="N143" s="23" t="str">
        <f t="shared" ref="N143:N170" si="83">IF(F143&lt;&gt;0,CHAR(F143),"")</f>
        <v/>
      </c>
      <c r="O143" s="18" t="str">
        <f t="shared" ref="O143:O170" si="84">IF(G143&lt;&gt;0,CHAR(G143),"")</f>
        <v/>
      </c>
      <c r="P143" s="18" t="str">
        <f t="shared" ref="P143:P170" si="85">IF(H143&lt;&gt;0,CHAR(H143),"")</f>
        <v xml:space="preserve">	</v>
      </c>
      <c r="Q143" s="65" t="str">
        <f t="shared" ref="Q143:Q170" si="86">IF(I143&lt;&gt;0,CHAR(I143),"")</f>
        <v>â</v>
      </c>
      <c r="R143" s="2" t="str">
        <f t="shared" si="73"/>
        <v xml:space="preserve">	â</v>
      </c>
    </row>
    <row r="144" spans="1:18" x14ac:dyDescent="0.25">
      <c r="A144" s="47"/>
      <c r="B144" s="56" t="str">
        <f>Motor!C7</f>
        <v>DEFAULT_MotorResistance_mOhm</v>
      </c>
      <c r="C144" s="52" t="str">
        <f>Motor!B7</f>
        <v>3FA34</v>
      </c>
      <c r="D144" s="22">
        <f>Motor!D7</f>
        <v>2610</v>
      </c>
      <c r="E144" s="25" t="str">
        <f t="shared" si="74"/>
        <v>A32</v>
      </c>
      <c r="F144" s="29">
        <f t="shared" si="75"/>
        <v>0</v>
      </c>
      <c r="G144" s="19">
        <f t="shared" si="76"/>
        <v>0</v>
      </c>
      <c r="H144" s="19">
        <f t="shared" si="77"/>
        <v>10</v>
      </c>
      <c r="I144" s="30">
        <f t="shared" si="78"/>
        <v>50</v>
      </c>
      <c r="J144" s="29" t="str">
        <f t="shared" si="79"/>
        <v>0</v>
      </c>
      <c r="K144" s="19" t="str">
        <f t="shared" si="80"/>
        <v>0</v>
      </c>
      <c r="L144" s="19" t="str">
        <f t="shared" si="81"/>
        <v>A</v>
      </c>
      <c r="M144" s="30" t="str">
        <f t="shared" si="82"/>
        <v>32</v>
      </c>
      <c r="N144" s="22" t="str">
        <f t="shared" si="83"/>
        <v/>
      </c>
      <c r="O144" s="19" t="str">
        <f t="shared" si="84"/>
        <v/>
      </c>
      <c r="P144" s="19" t="str">
        <f t="shared" si="85"/>
        <v xml:space="preserve">
</v>
      </c>
      <c r="Q144" s="61" t="str">
        <f t="shared" si="86"/>
        <v>2</v>
      </c>
      <c r="R144" s="64" t="str">
        <f t="shared" si="73"/>
        <v xml:space="preserve">
2</v>
      </c>
    </row>
    <row r="145" spans="1:18" x14ac:dyDescent="0.25">
      <c r="A145" s="48"/>
      <c r="B145" s="55" t="str">
        <f>Motor!C8</f>
        <v>DEFAULT_MotorPoles</v>
      </c>
      <c r="C145" s="51" t="str">
        <f>Motor!B8</f>
        <v>3FA38</v>
      </c>
      <c r="D145" s="23">
        <f>Motor!D8</f>
        <v>4</v>
      </c>
      <c r="E145" s="21" t="str">
        <f t="shared" si="74"/>
        <v>4</v>
      </c>
      <c r="F145" s="31">
        <f t="shared" si="75"/>
        <v>0</v>
      </c>
      <c r="G145" s="18">
        <f t="shared" si="76"/>
        <v>0</v>
      </c>
      <c r="H145" s="18">
        <f t="shared" si="77"/>
        <v>0</v>
      </c>
      <c r="I145" s="32">
        <f t="shared" si="78"/>
        <v>4</v>
      </c>
      <c r="J145" s="31" t="str">
        <f t="shared" si="79"/>
        <v>0</v>
      </c>
      <c r="K145" s="18" t="str">
        <f t="shared" si="80"/>
        <v>0</v>
      </c>
      <c r="L145" s="18" t="str">
        <f t="shared" si="81"/>
        <v>0</v>
      </c>
      <c r="M145" s="32" t="str">
        <f t="shared" si="82"/>
        <v>4</v>
      </c>
      <c r="N145" s="23" t="str">
        <f t="shared" si="83"/>
        <v/>
      </c>
      <c r="O145" s="18" t="str">
        <f t="shared" si="84"/>
        <v/>
      </c>
      <c r="P145" s="18" t="str">
        <f t="shared" si="85"/>
        <v/>
      </c>
      <c r="Q145" s="65" t="str">
        <f t="shared" si="86"/>
        <v>_x0004_</v>
      </c>
      <c r="R145" s="2" t="str">
        <f t="shared" si="73"/>
        <v>_x0004_</v>
      </c>
    </row>
    <row r="146" spans="1:18" x14ac:dyDescent="0.25">
      <c r="A146" s="47"/>
      <c r="B146" s="56" t="str">
        <f>Motor!C9</f>
        <v>DEFAULT_MotorTorqueConstant_uNmA</v>
      </c>
      <c r="C146" s="52" t="str">
        <f>Motor!B9</f>
        <v>3FA3C</v>
      </c>
      <c r="D146" s="22">
        <f>Motor!D9</f>
        <v>44800</v>
      </c>
      <c r="E146" s="25" t="str">
        <f t="shared" si="74"/>
        <v>AF00</v>
      </c>
      <c r="F146" s="29">
        <f t="shared" si="75"/>
        <v>0</v>
      </c>
      <c r="G146" s="19">
        <f t="shared" si="76"/>
        <v>0</v>
      </c>
      <c r="H146" s="19">
        <f t="shared" si="77"/>
        <v>175</v>
      </c>
      <c r="I146" s="30">
        <f t="shared" si="78"/>
        <v>0</v>
      </c>
      <c r="J146" s="29" t="str">
        <f t="shared" si="79"/>
        <v>0</v>
      </c>
      <c r="K146" s="19" t="str">
        <f t="shared" si="80"/>
        <v>0</v>
      </c>
      <c r="L146" s="19" t="str">
        <f t="shared" si="81"/>
        <v>AF</v>
      </c>
      <c r="M146" s="30" t="str">
        <f t="shared" si="82"/>
        <v>0</v>
      </c>
      <c r="N146" s="22" t="str">
        <f t="shared" si="83"/>
        <v/>
      </c>
      <c r="O146" s="19" t="str">
        <f t="shared" si="84"/>
        <v/>
      </c>
      <c r="P146" s="19" t="str">
        <f t="shared" si="85"/>
        <v>¯</v>
      </c>
      <c r="Q146" s="61" t="str">
        <f t="shared" si="86"/>
        <v/>
      </c>
      <c r="R146" s="64" t="str">
        <f t="shared" si="73"/>
        <v>¯</v>
      </c>
    </row>
    <row r="147" spans="1:18" x14ac:dyDescent="0.25">
      <c r="A147" s="48"/>
      <c r="B147" s="55" t="str">
        <f>Motor!C10</f>
        <v>DEFAULT_MotorRatedContinuosCurrent_mA</v>
      </c>
      <c r="C147" s="51" t="str">
        <f>Motor!B10</f>
        <v>3FA40</v>
      </c>
      <c r="D147" s="23">
        <f>Motor!D10</f>
        <v>1400</v>
      </c>
      <c r="E147" s="21" t="str">
        <f t="shared" si="74"/>
        <v>578</v>
      </c>
      <c r="F147" s="31">
        <f t="shared" si="75"/>
        <v>0</v>
      </c>
      <c r="G147" s="18">
        <f t="shared" si="76"/>
        <v>0</v>
      </c>
      <c r="H147" s="18">
        <f t="shared" si="77"/>
        <v>5</v>
      </c>
      <c r="I147" s="32">
        <f t="shared" si="78"/>
        <v>120</v>
      </c>
      <c r="J147" s="31" t="str">
        <f t="shared" si="79"/>
        <v>0</v>
      </c>
      <c r="K147" s="18" t="str">
        <f t="shared" si="80"/>
        <v>0</v>
      </c>
      <c r="L147" s="18" t="str">
        <f t="shared" si="81"/>
        <v>5</v>
      </c>
      <c r="M147" s="32" t="str">
        <f t="shared" si="82"/>
        <v>78</v>
      </c>
      <c r="N147" s="23" t="str">
        <f t="shared" si="83"/>
        <v/>
      </c>
      <c r="O147" s="18" t="str">
        <f t="shared" si="84"/>
        <v/>
      </c>
      <c r="P147" s="18" t="str">
        <f t="shared" si="85"/>
        <v>_x0005_</v>
      </c>
      <c r="Q147" s="65" t="str">
        <f t="shared" si="86"/>
        <v>x</v>
      </c>
      <c r="R147" s="2" t="str">
        <f t="shared" si="73"/>
        <v>_x0005_x</v>
      </c>
    </row>
    <row r="148" spans="1:18" x14ac:dyDescent="0.25">
      <c r="A148" s="47"/>
      <c r="B148" s="56" t="str">
        <f>Motor!C11</f>
        <v>DEFAULT_MotorRatedPeakCurrent_mA</v>
      </c>
      <c r="C148" s="52" t="str">
        <f>Motor!B11</f>
        <v>3FA44</v>
      </c>
      <c r="D148" s="22">
        <f>Motor!D11</f>
        <v>4200</v>
      </c>
      <c r="E148" s="25" t="str">
        <f t="shared" si="74"/>
        <v>1068</v>
      </c>
      <c r="F148" s="29">
        <f t="shared" si="75"/>
        <v>0</v>
      </c>
      <c r="G148" s="19">
        <f t="shared" si="76"/>
        <v>0</v>
      </c>
      <c r="H148" s="19">
        <f t="shared" si="77"/>
        <v>16</v>
      </c>
      <c r="I148" s="30">
        <f t="shared" si="78"/>
        <v>104</v>
      </c>
      <c r="J148" s="29" t="str">
        <f t="shared" si="79"/>
        <v>0</v>
      </c>
      <c r="K148" s="19" t="str">
        <f t="shared" si="80"/>
        <v>0</v>
      </c>
      <c r="L148" s="19" t="str">
        <f t="shared" si="81"/>
        <v>10</v>
      </c>
      <c r="M148" s="30" t="str">
        <f t="shared" si="82"/>
        <v>68</v>
      </c>
      <c r="N148" s="22" t="str">
        <f t="shared" si="83"/>
        <v/>
      </c>
      <c r="O148" s="19" t="str">
        <f t="shared" si="84"/>
        <v/>
      </c>
      <c r="P148" s="19" t="str">
        <f t="shared" si="85"/>
        <v>_x0010_</v>
      </c>
      <c r="Q148" s="61" t="str">
        <f t="shared" si="86"/>
        <v>h</v>
      </c>
      <c r="R148" s="64" t="str">
        <f t="shared" si="73"/>
        <v>_x0010_h</v>
      </c>
    </row>
    <row r="149" spans="1:18" x14ac:dyDescent="0.25">
      <c r="A149" s="48"/>
      <c r="B149" s="55" t="str">
        <f>Motor!C12</f>
        <v>DEFAULT_MotorSpeedLimit_RPM</v>
      </c>
      <c r="C149" s="51" t="str">
        <f>Motor!B12</f>
        <v>3FA48</v>
      </c>
      <c r="D149" s="23">
        <f>Motor!D12</f>
        <v>6000</v>
      </c>
      <c r="E149" s="21" t="str">
        <f t="shared" si="74"/>
        <v>1770</v>
      </c>
      <c r="F149" s="31">
        <f t="shared" ref="F149:F155" si="87">IF(D149 &gt;= 0,TRUNC(D149/(2^24)),TRUNC((D149 + 2^32)/(2^24)))</f>
        <v>0</v>
      </c>
      <c r="G149" s="18">
        <f t="shared" ref="G149:G155" si="88">IF(D149&gt;=0,TRUNC((D149-(F149*2^24))/(2^16)),TRUNC(((D149+2^32)-(F149*2^24))/(2^16)))</f>
        <v>0</v>
      </c>
      <c r="H149" s="18">
        <f t="shared" ref="H149:H155" si="89">IF(D149&gt;=0,TRUNC((D149-((F149*2^24)+(G149*2^16)))/2^8),TRUNC(((D149 + 2^32)-((F149*2^24)+(G149*2^16)))/2^8))</f>
        <v>23</v>
      </c>
      <c r="I149" s="32">
        <f t="shared" ref="I149:I155" si="90">IF(D149&gt;=0,TRUNC((D149-((F149*2^24)+(G149*2^16)+(H149*2^8)))),TRUNC(((D149+2^32)-((F149*2^24)+(G149*2^16)+(H149*2^8)))))</f>
        <v>112</v>
      </c>
      <c r="J149" s="31" t="str">
        <f t="shared" ref="J149:J155" si="91">DEC2HEX(F149)</f>
        <v>0</v>
      </c>
      <c r="K149" s="18" t="str">
        <f t="shared" ref="K149:K155" si="92">DEC2HEX(G149)</f>
        <v>0</v>
      </c>
      <c r="L149" s="18" t="str">
        <f t="shared" ref="L149:L155" si="93">DEC2HEX(H149)</f>
        <v>17</v>
      </c>
      <c r="M149" s="32" t="str">
        <f t="shared" ref="M149:M155" si="94">DEC2HEX(I149)</f>
        <v>70</v>
      </c>
      <c r="N149" s="23" t="str">
        <f t="shared" si="83"/>
        <v/>
      </c>
      <c r="O149" s="18" t="str">
        <f t="shared" si="84"/>
        <v/>
      </c>
      <c r="P149" s="18" t="str">
        <f t="shared" si="85"/>
        <v>_x0017_</v>
      </c>
      <c r="Q149" s="65" t="str">
        <f t="shared" si="86"/>
        <v>p</v>
      </c>
      <c r="R149" s="2" t="str">
        <f t="shared" si="73"/>
        <v>_x0017_p</v>
      </c>
    </row>
    <row r="150" spans="1:18" x14ac:dyDescent="0.25">
      <c r="A150" s="47"/>
      <c r="B150" s="56" t="str">
        <f>Motor!C13</f>
        <v>DEFAULT_RESERVED_MOTOR</v>
      </c>
      <c r="C150" s="52" t="str">
        <f>Motor!B13</f>
        <v>3FA4C</v>
      </c>
      <c r="D150" s="22">
        <f>Motor!D13</f>
        <v>4294967295</v>
      </c>
      <c r="E150" s="25" t="str">
        <f t="shared" si="74"/>
        <v>FFFFFFFF</v>
      </c>
      <c r="F150" s="29">
        <f t="shared" si="87"/>
        <v>255</v>
      </c>
      <c r="G150" s="19">
        <f t="shared" si="88"/>
        <v>255</v>
      </c>
      <c r="H150" s="19">
        <f t="shared" si="89"/>
        <v>255</v>
      </c>
      <c r="I150" s="30">
        <f t="shared" si="90"/>
        <v>255</v>
      </c>
      <c r="J150" s="29" t="str">
        <f t="shared" si="91"/>
        <v>FF</v>
      </c>
      <c r="K150" s="19" t="str">
        <f t="shared" si="92"/>
        <v>FF</v>
      </c>
      <c r="L150" s="19" t="str">
        <f t="shared" si="93"/>
        <v>FF</v>
      </c>
      <c r="M150" s="30" t="str">
        <f t="shared" si="94"/>
        <v>FF</v>
      </c>
      <c r="N150" s="22" t="str">
        <f t="shared" si="83"/>
        <v>ÿ</v>
      </c>
      <c r="O150" s="19" t="str">
        <f t="shared" si="84"/>
        <v>ÿ</v>
      </c>
      <c r="P150" s="19" t="str">
        <f t="shared" si="85"/>
        <v>ÿ</v>
      </c>
      <c r="Q150" s="61" t="str">
        <f t="shared" si="86"/>
        <v>ÿ</v>
      </c>
      <c r="R150" s="64" t="str">
        <f t="shared" si="73"/>
        <v>ÿÿÿÿ</v>
      </c>
    </row>
    <row r="151" spans="1:18" x14ac:dyDescent="0.25">
      <c r="A151" s="48"/>
      <c r="B151" s="55" t="str">
        <f>Motor!C14</f>
        <v>DEFAULT_RESERVED_MOTOR</v>
      </c>
      <c r="C151" s="51" t="str">
        <f>Motor!B14</f>
        <v>3FA50</v>
      </c>
      <c r="D151" s="23">
        <f>Motor!D14</f>
        <v>4294967295</v>
      </c>
      <c r="E151" s="21" t="str">
        <f t="shared" si="74"/>
        <v>FFFFFFFF</v>
      </c>
      <c r="F151" s="31">
        <f t="shared" si="87"/>
        <v>255</v>
      </c>
      <c r="G151" s="18">
        <f t="shared" si="88"/>
        <v>255</v>
      </c>
      <c r="H151" s="18">
        <f t="shared" si="89"/>
        <v>255</v>
      </c>
      <c r="I151" s="32">
        <f t="shared" si="90"/>
        <v>255</v>
      </c>
      <c r="J151" s="31" t="str">
        <f t="shared" si="91"/>
        <v>FF</v>
      </c>
      <c r="K151" s="18" t="str">
        <f t="shared" si="92"/>
        <v>FF</v>
      </c>
      <c r="L151" s="18" t="str">
        <f t="shared" si="93"/>
        <v>FF</v>
      </c>
      <c r="M151" s="32" t="str">
        <f t="shared" si="94"/>
        <v>FF</v>
      </c>
      <c r="N151" s="23" t="str">
        <f t="shared" si="83"/>
        <v>ÿ</v>
      </c>
      <c r="O151" s="18" t="str">
        <f t="shared" si="84"/>
        <v>ÿ</v>
      </c>
      <c r="P151" s="18" t="str">
        <f t="shared" si="85"/>
        <v>ÿ</v>
      </c>
      <c r="Q151" s="65" t="str">
        <f t="shared" si="86"/>
        <v>ÿ</v>
      </c>
      <c r="R151" s="2" t="str">
        <f t="shared" si="73"/>
        <v>ÿÿÿÿ</v>
      </c>
    </row>
    <row r="152" spans="1:18" x14ac:dyDescent="0.25">
      <c r="A152" s="47"/>
      <c r="B152" s="56" t="str">
        <f>Motor!C15</f>
        <v>DEFAULT_RESERVED_MOTOR</v>
      </c>
      <c r="C152" s="52" t="str">
        <f>Motor!B15</f>
        <v>3FA54</v>
      </c>
      <c r="D152" s="22">
        <f>Motor!D15</f>
        <v>4294967295</v>
      </c>
      <c r="E152" s="25" t="str">
        <f t="shared" si="74"/>
        <v>FFFFFFFF</v>
      </c>
      <c r="F152" s="29">
        <f t="shared" si="87"/>
        <v>255</v>
      </c>
      <c r="G152" s="19">
        <f t="shared" si="88"/>
        <v>255</v>
      </c>
      <c r="H152" s="19">
        <f t="shared" si="89"/>
        <v>255</v>
      </c>
      <c r="I152" s="30">
        <f t="shared" si="90"/>
        <v>255</v>
      </c>
      <c r="J152" s="29" t="str">
        <f t="shared" si="91"/>
        <v>FF</v>
      </c>
      <c r="K152" s="19" t="str">
        <f t="shared" si="92"/>
        <v>FF</v>
      </c>
      <c r="L152" s="19" t="str">
        <f t="shared" si="93"/>
        <v>FF</v>
      </c>
      <c r="M152" s="30" t="str">
        <f t="shared" si="94"/>
        <v>FF</v>
      </c>
      <c r="N152" s="22" t="str">
        <f t="shared" si="83"/>
        <v>ÿ</v>
      </c>
      <c r="O152" s="19" t="str">
        <f t="shared" si="84"/>
        <v>ÿ</v>
      </c>
      <c r="P152" s="19" t="str">
        <f t="shared" si="85"/>
        <v>ÿ</v>
      </c>
      <c r="Q152" s="61" t="str">
        <f t="shared" si="86"/>
        <v>ÿ</v>
      </c>
      <c r="R152" s="64" t="str">
        <f t="shared" si="73"/>
        <v>ÿÿÿÿ</v>
      </c>
    </row>
    <row r="153" spans="1:18" x14ac:dyDescent="0.25">
      <c r="A153" s="48"/>
      <c r="B153" s="55" t="str">
        <f>Motor!C16</f>
        <v>DEFAULT_RESERVED_MOTOR</v>
      </c>
      <c r="C153" s="51" t="str">
        <f>Motor!B16</f>
        <v>3FA58</v>
      </c>
      <c r="D153" s="23">
        <f>Motor!D16</f>
        <v>4294967295</v>
      </c>
      <c r="E153" s="21" t="str">
        <f t="shared" si="74"/>
        <v>FFFFFFFF</v>
      </c>
      <c r="F153" s="31">
        <f t="shared" si="87"/>
        <v>255</v>
      </c>
      <c r="G153" s="18">
        <f t="shared" si="88"/>
        <v>255</v>
      </c>
      <c r="H153" s="18">
        <f t="shared" si="89"/>
        <v>255</v>
      </c>
      <c r="I153" s="32">
        <f t="shared" si="90"/>
        <v>255</v>
      </c>
      <c r="J153" s="31" t="str">
        <f t="shared" si="91"/>
        <v>FF</v>
      </c>
      <c r="K153" s="18" t="str">
        <f t="shared" si="92"/>
        <v>FF</v>
      </c>
      <c r="L153" s="18" t="str">
        <f t="shared" si="93"/>
        <v>FF</v>
      </c>
      <c r="M153" s="32" t="str">
        <f t="shared" si="94"/>
        <v>FF</v>
      </c>
      <c r="N153" s="23" t="str">
        <f t="shared" si="83"/>
        <v>ÿ</v>
      </c>
      <c r="O153" s="18" t="str">
        <f t="shared" si="84"/>
        <v>ÿ</v>
      </c>
      <c r="P153" s="18" t="str">
        <f t="shared" si="85"/>
        <v>ÿ</v>
      </c>
      <c r="Q153" s="65" t="str">
        <f t="shared" si="86"/>
        <v>ÿ</v>
      </c>
      <c r="R153" s="2" t="str">
        <f t="shared" si="73"/>
        <v>ÿÿÿÿ</v>
      </c>
    </row>
    <row r="154" spans="1:18" x14ac:dyDescent="0.25">
      <c r="A154" s="47"/>
      <c r="B154" s="56" t="str">
        <f>Motor!C17</f>
        <v>DEFAULT_RESERVED_MOTOR</v>
      </c>
      <c r="C154" s="52" t="str">
        <f>Motor!B17</f>
        <v>3FA5C</v>
      </c>
      <c r="D154" s="22">
        <f>Motor!D17</f>
        <v>4294967295</v>
      </c>
      <c r="E154" s="25" t="str">
        <f t="shared" si="74"/>
        <v>FFFFFFFF</v>
      </c>
      <c r="F154" s="29">
        <f t="shared" si="87"/>
        <v>255</v>
      </c>
      <c r="G154" s="19">
        <f t="shared" si="88"/>
        <v>255</v>
      </c>
      <c r="H154" s="19">
        <f t="shared" si="89"/>
        <v>255</v>
      </c>
      <c r="I154" s="30">
        <f t="shared" si="90"/>
        <v>255</v>
      </c>
      <c r="J154" s="29" t="str">
        <f t="shared" si="91"/>
        <v>FF</v>
      </c>
      <c r="K154" s="19" t="str">
        <f t="shared" si="92"/>
        <v>FF</v>
      </c>
      <c r="L154" s="19" t="str">
        <f t="shared" si="93"/>
        <v>FF</v>
      </c>
      <c r="M154" s="30" t="str">
        <f t="shared" si="94"/>
        <v>FF</v>
      </c>
      <c r="N154" s="22" t="str">
        <f t="shared" si="83"/>
        <v>ÿ</v>
      </c>
      <c r="O154" s="19" t="str">
        <f t="shared" si="84"/>
        <v>ÿ</v>
      </c>
      <c r="P154" s="19" t="str">
        <f t="shared" si="85"/>
        <v>ÿ</v>
      </c>
      <c r="Q154" s="61" t="str">
        <f t="shared" si="86"/>
        <v>ÿ</v>
      </c>
      <c r="R154" s="64" t="str">
        <f t="shared" si="73"/>
        <v>ÿÿÿÿ</v>
      </c>
    </row>
    <row r="155" spans="1:18" x14ac:dyDescent="0.25">
      <c r="A155" s="48"/>
      <c r="B155" s="55" t="str">
        <f>Motor!C18</f>
        <v>DEFAULT_RESERVED_MOTOR</v>
      </c>
      <c r="C155" s="51" t="str">
        <f>Motor!B18</f>
        <v>3FA60</v>
      </c>
      <c r="D155" s="23">
        <f>Motor!D18</f>
        <v>4294967295</v>
      </c>
      <c r="E155" s="21" t="str">
        <f t="shared" si="74"/>
        <v>FFFFFFFF</v>
      </c>
      <c r="F155" s="31">
        <f t="shared" si="87"/>
        <v>255</v>
      </c>
      <c r="G155" s="18">
        <f t="shared" si="88"/>
        <v>255</v>
      </c>
      <c r="H155" s="18">
        <f t="shared" si="89"/>
        <v>255</v>
      </c>
      <c r="I155" s="32">
        <f t="shared" si="90"/>
        <v>255</v>
      </c>
      <c r="J155" s="31" t="str">
        <f t="shared" si="91"/>
        <v>FF</v>
      </c>
      <c r="K155" s="18" t="str">
        <f t="shared" si="92"/>
        <v>FF</v>
      </c>
      <c r="L155" s="18" t="str">
        <f t="shared" si="93"/>
        <v>FF</v>
      </c>
      <c r="M155" s="32" t="str">
        <f t="shared" si="94"/>
        <v>FF</v>
      </c>
      <c r="N155" s="23" t="str">
        <f t="shared" si="83"/>
        <v>ÿ</v>
      </c>
      <c r="O155" s="18" t="str">
        <f t="shared" si="84"/>
        <v>ÿ</v>
      </c>
      <c r="P155" s="18" t="str">
        <f t="shared" si="85"/>
        <v>ÿ</v>
      </c>
      <c r="Q155" s="65" t="str">
        <f t="shared" si="86"/>
        <v>ÿ</v>
      </c>
      <c r="R155" s="2" t="str">
        <f t="shared" si="73"/>
        <v>ÿÿÿÿ</v>
      </c>
    </row>
    <row r="156" spans="1:18" x14ac:dyDescent="0.25">
      <c r="A156" s="47"/>
      <c r="B156" s="56" t="str">
        <f>Motor!C19</f>
        <v>DEFAULT_RESERVED_MOTOR</v>
      </c>
      <c r="C156" s="52" t="str">
        <f>Motor!B19</f>
        <v>3FA64</v>
      </c>
      <c r="D156" s="22">
        <f>Motor!D19</f>
        <v>4294967295</v>
      </c>
      <c r="E156" s="25" t="str">
        <f t="shared" si="74"/>
        <v>FFFFFFFF</v>
      </c>
      <c r="F156" s="29">
        <f t="shared" ref="F156:F170" si="95">IF(D156 &gt;= 0,TRUNC(D156/(2^24)),TRUNC((D156 + 2^32)/(2^24)))</f>
        <v>255</v>
      </c>
      <c r="G156" s="19">
        <f t="shared" ref="G156:G170" si="96">IF(D156&gt;=0,TRUNC((D156-(F156*2^24))/(2^16)),TRUNC(((D156+2^32)-(F156*2^24))/(2^16)))</f>
        <v>255</v>
      </c>
      <c r="H156" s="19">
        <f t="shared" ref="H156:H170" si="97">IF(D156&gt;=0,TRUNC((D156-((F156*2^24)+(G156*2^16)))/2^8),TRUNC(((D156 + 2^32)-((F156*2^24)+(G156*2^16)))/2^8))</f>
        <v>255</v>
      </c>
      <c r="I156" s="30">
        <f t="shared" ref="I156:I170" si="98">IF(D156&gt;=0,TRUNC((D156-((F156*2^24)+(G156*2^16)+(H156*2^8)))),TRUNC(((D156+2^32)-((F156*2^24)+(G156*2^16)+(H156*2^8)))))</f>
        <v>255</v>
      </c>
      <c r="J156" s="29" t="str">
        <f t="shared" ref="J156:J170" si="99">DEC2HEX(F156)</f>
        <v>FF</v>
      </c>
      <c r="K156" s="19" t="str">
        <f t="shared" ref="K156:K170" si="100">DEC2HEX(G156)</f>
        <v>FF</v>
      </c>
      <c r="L156" s="19" t="str">
        <f t="shared" ref="L156:L170" si="101">DEC2HEX(H156)</f>
        <v>FF</v>
      </c>
      <c r="M156" s="30" t="str">
        <f t="shared" ref="M156:M170" si="102">DEC2HEX(I156)</f>
        <v>FF</v>
      </c>
      <c r="N156" s="22" t="str">
        <f t="shared" si="83"/>
        <v>ÿ</v>
      </c>
      <c r="O156" s="19" t="str">
        <f t="shared" si="84"/>
        <v>ÿ</v>
      </c>
      <c r="P156" s="19" t="str">
        <f t="shared" si="85"/>
        <v>ÿ</v>
      </c>
      <c r="Q156" s="61" t="str">
        <f t="shared" si="86"/>
        <v>ÿ</v>
      </c>
      <c r="R156" s="64" t="str">
        <f t="shared" si="73"/>
        <v>ÿÿÿÿ</v>
      </c>
    </row>
    <row r="157" spans="1:18" x14ac:dyDescent="0.25">
      <c r="A157" s="48"/>
      <c r="B157" s="55" t="str">
        <f>Motor!C20</f>
        <v>DEFAULT_RESERVED_MOTOR</v>
      </c>
      <c r="C157" s="51" t="str">
        <f>Motor!B20</f>
        <v>3FA68</v>
      </c>
      <c r="D157" s="23">
        <f>Motor!D20</f>
        <v>4294967295</v>
      </c>
      <c r="E157" s="21" t="str">
        <f t="shared" si="74"/>
        <v>FFFFFFFF</v>
      </c>
      <c r="F157" s="31">
        <f t="shared" si="95"/>
        <v>255</v>
      </c>
      <c r="G157" s="18">
        <f t="shared" si="96"/>
        <v>255</v>
      </c>
      <c r="H157" s="18">
        <f t="shared" si="97"/>
        <v>255</v>
      </c>
      <c r="I157" s="32">
        <f t="shared" si="98"/>
        <v>255</v>
      </c>
      <c r="J157" s="31" t="str">
        <f t="shared" si="99"/>
        <v>FF</v>
      </c>
      <c r="K157" s="18" t="str">
        <f t="shared" si="100"/>
        <v>FF</v>
      </c>
      <c r="L157" s="18" t="str">
        <f t="shared" si="101"/>
        <v>FF</v>
      </c>
      <c r="M157" s="32" t="str">
        <f t="shared" si="102"/>
        <v>FF</v>
      </c>
      <c r="N157" s="23" t="str">
        <f t="shared" si="83"/>
        <v>ÿ</v>
      </c>
      <c r="O157" s="18" t="str">
        <f t="shared" si="84"/>
        <v>ÿ</v>
      </c>
      <c r="P157" s="18" t="str">
        <f t="shared" si="85"/>
        <v>ÿ</v>
      </c>
      <c r="Q157" s="65" t="str">
        <f t="shared" si="86"/>
        <v>ÿ</v>
      </c>
      <c r="R157" s="2" t="str">
        <f t="shared" si="73"/>
        <v>ÿÿÿÿ</v>
      </c>
    </row>
    <row r="158" spans="1:18" x14ac:dyDescent="0.25">
      <c r="A158" s="47"/>
      <c r="B158" s="56" t="str">
        <f>Motor!C21</f>
        <v>DEFAULT_RESERVED_MOTOR</v>
      </c>
      <c r="C158" s="52" t="str">
        <f>Motor!B21</f>
        <v>3FA6C</v>
      </c>
      <c r="D158" s="22">
        <f>Motor!D21</f>
        <v>4294967295</v>
      </c>
      <c r="E158" s="25" t="str">
        <f t="shared" si="74"/>
        <v>FFFFFFFF</v>
      </c>
      <c r="F158" s="29">
        <f t="shared" si="95"/>
        <v>255</v>
      </c>
      <c r="G158" s="19">
        <f t="shared" si="96"/>
        <v>255</v>
      </c>
      <c r="H158" s="19">
        <f t="shared" si="97"/>
        <v>255</v>
      </c>
      <c r="I158" s="30">
        <f t="shared" si="98"/>
        <v>255</v>
      </c>
      <c r="J158" s="29" t="str">
        <f t="shared" si="99"/>
        <v>FF</v>
      </c>
      <c r="K158" s="19" t="str">
        <f t="shared" si="100"/>
        <v>FF</v>
      </c>
      <c r="L158" s="19" t="str">
        <f t="shared" si="101"/>
        <v>FF</v>
      </c>
      <c r="M158" s="30" t="str">
        <f t="shared" si="102"/>
        <v>FF</v>
      </c>
      <c r="N158" s="22" t="str">
        <f t="shared" si="83"/>
        <v>ÿ</v>
      </c>
      <c r="O158" s="19" t="str">
        <f t="shared" si="84"/>
        <v>ÿ</v>
      </c>
      <c r="P158" s="19" t="str">
        <f t="shared" si="85"/>
        <v>ÿ</v>
      </c>
      <c r="Q158" s="61" t="str">
        <f t="shared" si="86"/>
        <v>ÿ</v>
      </c>
      <c r="R158" s="64" t="str">
        <f t="shared" si="73"/>
        <v>ÿÿÿÿ</v>
      </c>
    </row>
    <row r="159" spans="1:18" x14ac:dyDescent="0.25">
      <c r="A159" s="48"/>
      <c r="B159" s="55" t="str">
        <f>Motor!C22</f>
        <v>DEFAULT_RESERVED_MOTOR</v>
      </c>
      <c r="C159" s="51" t="str">
        <f>Motor!B22</f>
        <v>3FA70</v>
      </c>
      <c r="D159" s="23">
        <f>Motor!D22</f>
        <v>4294967295</v>
      </c>
      <c r="E159" s="21" t="str">
        <f t="shared" si="74"/>
        <v>FFFFFFFF</v>
      </c>
      <c r="F159" s="31">
        <f t="shared" si="95"/>
        <v>255</v>
      </c>
      <c r="G159" s="18">
        <f t="shared" si="96"/>
        <v>255</v>
      </c>
      <c r="H159" s="18">
        <f t="shared" si="97"/>
        <v>255</v>
      </c>
      <c r="I159" s="32">
        <f t="shared" si="98"/>
        <v>255</v>
      </c>
      <c r="J159" s="31" t="str">
        <f t="shared" si="99"/>
        <v>FF</v>
      </c>
      <c r="K159" s="18" t="str">
        <f t="shared" si="100"/>
        <v>FF</v>
      </c>
      <c r="L159" s="18" t="str">
        <f t="shared" si="101"/>
        <v>FF</v>
      </c>
      <c r="M159" s="32" t="str">
        <f t="shared" si="102"/>
        <v>FF</v>
      </c>
      <c r="N159" s="23" t="str">
        <f t="shared" si="83"/>
        <v>ÿ</v>
      </c>
      <c r="O159" s="18" t="str">
        <f t="shared" si="84"/>
        <v>ÿ</v>
      </c>
      <c r="P159" s="18" t="str">
        <f t="shared" si="85"/>
        <v>ÿ</v>
      </c>
      <c r="Q159" s="65" t="str">
        <f t="shared" si="86"/>
        <v>ÿ</v>
      </c>
      <c r="R159" s="2" t="str">
        <f t="shared" si="73"/>
        <v>ÿÿÿÿ</v>
      </c>
    </row>
    <row r="160" spans="1:18" x14ac:dyDescent="0.25">
      <c r="A160" s="47"/>
      <c r="B160" s="56" t="str">
        <f>Motor!C23</f>
        <v>DEFAULT_RESERVED_MOTOR</v>
      </c>
      <c r="C160" s="52" t="str">
        <f>Motor!B23</f>
        <v>3FA74</v>
      </c>
      <c r="D160" s="22">
        <f>Motor!D23</f>
        <v>4294967295</v>
      </c>
      <c r="E160" s="25" t="str">
        <f t="shared" si="74"/>
        <v>FFFFFFFF</v>
      </c>
      <c r="F160" s="29">
        <f t="shared" si="95"/>
        <v>255</v>
      </c>
      <c r="G160" s="19">
        <f t="shared" si="96"/>
        <v>255</v>
      </c>
      <c r="H160" s="19">
        <f t="shared" si="97"/>
        <v>255</v>
      </c>
      <c r="I160" s="30">
        <f t="shared" si="98"/>
        <v>255</v>
      </c>
      <c r="J160" s="29" t="str">
        <f t="shared" si="99"/>
        <v>FF</v>
      </c>
      <c r="K160" s="19" t="str">
        <f t="shared" si="100"/>
        <v>FF</v>
      </c>
      <c r="L160" s="19" t="str">
        <f t="shared" si="101"/>
        <v>FF</v>
      </c>
      <c r="M160" s="30" t="str">
        <f t="shared" si="102"/>
        <v>FF</v>
      </c>
      <c r="N160" s="22" t="str">
        <f t="shared" si="83"/>
        <v>ÿ</v>
      </c>
      <c r="O160" s="19" t="str">
        <f t="shared" si="84"/>
        <v>ÿ</v>
      </c>
      <c r="P160" s="19" t="str">
        <f t="shared" si="85"/>
        <v>ÿ</v>
      </c>
      <c r="Q160" s="61" t="str">
        <f t="shared" si="86"/>
        <v>ÿ</v>
      </c>
      <c r="R160" s="64" t="str">
        <f t="shared" si="73"/>
        <v>ÿÿÿÿ</v>
      </c>
    </row>
    <row r="161" spans="1:18" x14ac:dyDescent="0.25">
      <c r="A161" s="48"/>
      <c r="B161" s="55" t="str">
        <f>Motor!C24</f>
        <v>DEFAULT_RESERVED_MOTOR</v>
      </c>
      <c r="C161" s="51" t="str">
        <f>Motor!B24</f>
        <v>3FA78</v>
      </c>
      <c r="D161" s="23">
        <f>Motor!D24</f>
        <v>4294967295</v>
      </c>
      <c r="E161" s="21" t="str">
        <f t="shared" si="74"/>
        <v>FFFFFFFF</v>
      </c>
      <c r="F161" s="31">
        <f t="shared" si="95"/>
        <v>255</v>
      </c>
      <c r="G161" s="18">
        <f t="shared" si="96"/>
        <v>255</v>
      </c>
      <c r="H161" s="18">
        <f t="shared" si="97"/>
        <v>255</v>
      </c>
      <c r="I161" s="32">
        <f t="shared" si="98"/>
        <v>255</v>
      </c>
      <c r="J161" s="31" t="str">
        <f t="shared" si="99"/>
        <v>FF</v>
      </c>
      <c r="K161" s="18" t="str">
        <f t="shared" si="100"/>
        <v>FF</v>
      </c>
      <c r="L161" s="18" t="str">
        <f t="shared" si="101"/>
        <v>FF</v>
      </c>
      <c r="M161" s="32" t="str">
        <f t="shared" si="102"/>
        <v>FF</v>
      </c>
      <c r="N161" s="23" t="str">
        <f t="shared" si="83"/>
        <v>ÿ</v>
      </c>
      <c r="O161" s="18" t="str">
        <f t="shared" si="84"/>
        <v>ÿ</v>
      </c>
      <c r="P161" s="18" t="str">
        <f t="shared" si="85"/>
        <v>ÿ</v>
      </c>
      <c r="Q161" s="65" t="str">
        <f t="shared" si="86"/>
        <v>ÿ</v>
      </c>
      <c r="R161" s="2" t="str">
        <f t="shared" si="73"/>
        <v>ÿÿÿÿ</v>
      </c>
    </row>
    <row r="162" spans="1:18" x14ac:dyDescent="0.25">
      <c r="A162" s="47"/>
      <c r="B162" s="56" t="str">
        <f>Motor!C25</f>
        <v>DEFAULT_RESERVED_MOTOR</v>
      </c>
      <c r="C162" s="52" t="str">
        <f>Motor!B25</f>
        <v>3FA7C</v>
      </c>
      <c r="D162" s="22">
        <f>Motor!D25</f>
        <v>4294967295</v>
      </c>
      <c r="E162" s="25" t="str">
        <f t="shared" si="74"/>
        <v>FFFFFFFF</v>
      </c>
      <c r="F162" s="29">
        <f t="shared" si="95"/>
        <v>255</v>
      </c>
      <c r="G162" s="19">
        <f t="shared" si="96"/>
        <v>255</v>
      </c>
      <c r="H162" s="19">
        <f t="shared" si="97"/>
        <v>255</v>
      </c>
      <c r="I162" s="30">
        <f t="shared" si="98"/>
        <v>255</v>
      </c>
      <c r="J162" s="29" t="str">
        <f t="shared" si="99"/>
        <v>FF</v>
      </c>
      <c r="K162" s="19" t="str">
        <f t="shared" si="100"/>
        <v>FF</v>
      </c>
      <c r="L162" s="19" t="str">
        <f t="shared" si="101"/>
        <v>FF</v>
      </c>
      <c r="M162" s="30" t="str">
        <f t="shared" si="102"/>
        <v>FF</v>
      </c>
      <c r="N162" s="22" t="str">
        <f t="shared" si="83"/>
        <v>ÿ</v>
      </c>
      <c r="O162" s="19" t="str">
        <f t="shared" si="84"/>
        <v>ÿ</v>
      </c>
      <c r="P162" s="19" t="str">
        <f t="shared" si="85"/>
        <v>ÿ</v>
      </c>
      <c r="Q162" s="61" t="str">
        <f t="shared" si="86"/>
        <v>ÿ</v>
      </c>
      <c r="R162" s="64" t="str">
        <f t="shared" si="73"/>
        <v>ÿÿÿÿ</v>
      </c>
    </row>
    <row r="163" spans="1:18" x14ac:dyDescent="0.25">
      <c r="A163" s="48"/>
      <c r="B163" s="55" t="str">
        <f>Motor!C26</f>
        <v>DEFAULT_RESERVED_MOTOR</v>
      </c>
      <c r="C163" s="51" t="str">
        <f>Motor!B26</f>
        <v>3FA80</v>
      </c>
      <c r="D163" s="23">
        <f>Motor!D26</f>
        <v>4294967295</v>
      </c>
      <c r="E163" s="21" t="str">
        <f t="shared" si="74"/>
        <v>FFFFFFFF</v>
      </c>
      <c r="F163" s="31">
        <f t="shared" si="95"/>
        <v>255</v>
      </c>
      <c r="G163" s="18">
        <f t="shared" si="96"/>
        <v>255</v>
      </c>
      <c r="H163" s="18">
        <f t="shared" si="97"/>
        <v>255</v>
      </c>
      <c r="I163" s="32">
        <f t="shared" si="98"/>
        <v>255</v>
      </c>
      <c r="J163" s="31" t="str">
        <f t="shared" si="99"/>
        <v>FF</v>
      </c>
      <c r="K163" s="18" t="str">
        <f t="shared" si="100"/>
        <v>FF</v>
      </c>
      <c r="L163" s="18" t="str">
        <f t="shared" si="101"/>
        <v>FF</v>
      </c>
      <c r="M163" s="32" t="str">
        <f t="shared" si="102"/>
        <v>FF</v>
      </c>
      <c r="N163" s="23" t="str">
        <f t="shared" si="83"/>
        <v>ÿ</v>
      </c>
      <c r="O163" s="18" t="str">
        <f t="shared" si="84"/>
        <v>ÿ</v>
      </c>
      <c r="P163" s="18" t="str">
        <f t="shared" si="85"/>
        <v>ÿ</v>
      </c>
      <c r="Q163" s="65" t="str">
        <f t="shared" si="86"/>
        <v>ÿ</v>
      </c>
      <c r="R163" s="2" t="str">
        <f t="shared" si="73"/>
        <v>ÿÿÿÿ</v>
      </c>
    </row>
    <row r="164" spans="1:18" x14ac:dyDescent="0.25">
      <c r="A164" s="47"/>
      <c r="B164" s="56" t="str">
        <f>Motor!C27</f>
        <v>DEFAULT_RESERVED_MOTOR</v>
      </c>
      <c r="C164" s="52" t="str">
        <f>Motor!B27</f>
        <v>3FA84</v>
      </c>
      <c r="D164" s="22">
        <f>Motor!D27</f>
        <v>4294967295</v>
      </c>
      <c r="E164" s="25" t="str">
        <f t="shared" si="74"/>
        <v>FFFFFFFF</v>
      </c>
      <c r="F164" s="29">
        <f t="shared" si="95"/>
        <v>255</v>
      </c>
      <c r="G164" s="19">
        <f t="shared" si="96"/>
        <v>255</v>
      </c>
      <c r="H164" s="19">
        <f t="shared" si="97"/>
        <v>255</v>
      </c>
      <c r="I164" s="30">
        <f t="shared" si="98"/>
        <v>255</v>
      </c>
      <c r="J164" s="29" t="str">
        <f t="shared" si="99"/>
        <v>FF</v>
      </c>
      <c r="K164" s="19" t="str">
        <f t="shared" si="100"/>
        <v>FF</v>
      </c>
      <c r="L164" s="19" t="str">
        <f t="shared" si="101"/>
        <v>FF</v>
      </c>
      <c r="M164" s="30" t="str">
        <f t="shared" si="102"/>
        <v>FF</v>
      </c>
      <c r="N164" s="22" t="str">
        <f t="shared" si="83"/>
        <v>ÿ</v>
      </c>
      <c r="O164" s="19" t="str">
        <f t="shared" si="84"/>
        <v>ÿ</v>
      </c>
      <c r="P164" s="19" t="str">
        <f t="shared" si="85"/>
        <v>ÿ</v>
      </c>
      <c r="Q164" s="61" t="str">
        <f t="shared" si="86"/>
        <v>ÿ</v>
      </c>
      <c r="R164" s="64" t="str">
        <f t="shared" si="73"/>
        <v>ÿÿÿÿ</v>
      </c>
    </row>
    <row r="165" spans="1:18" x14ac:dyDescent="0.25">
      <c r="A165" s="48"/>
      <c r="B165" s="55" t="str">
        <f>Motor!C28</f>
        <v>DEFAULT_RESERVED_MOTOR</v>
      </c>
      <c r="C165" s="51" t="str">
        <f>Motor!B28</f>
        <v>3FA88</v>
      </c>
      <c r="D165" s="23">
        <f>Motor!D28</f>
        <v>4294967295</v>
      </c>
      <c r="E165" s="21" t="str">
        <f t="shared" si="74"/>
        <v>FFFFFFFF</v>
      </c>
      <c r="F165" s="31">
        <f t="shared" si="95"/>
        <v>255</v>
      </c>
      <c r="G165" s="18">
        <f t="shared" si="96"/>
        <v>255</v>
      </c>
      <c r="H165" s="18">
        <f t="shared" si="97"/>
        <v>255</v>
      </c>
      <c r="I165" s="32">
        <f t="shared" si="98"/>
        <v>255</v>
      </c>
      <c r="J165" s="31" t="str">
        <f t="shared" si="99"/>
        <v>FF</v>
      </c>
      <c r="K165" s="18" t="str">
        <f t="shared" si="100"/>
        <v>FF</v>
      </c>
      <c r="L165" s="18" t="str">
        <f t="shared" si="101"/>
        <v>FF</v>
      </c>
      <c r="M165" s="32" t="str">
        <f t="shared" si="102"/>
        <v>FF</v>
      </c>
      <c r="N165" s="23" t="str">
        <f t="shared" si="83"/>
        <v>ÿ</v>
      </c>
      <c r="O165" s="18" t="str">
        <f t="shared" si="84"/>
        <v>ÿ</v>
      </c>
      <c r="P165" s="18" t="str">
        <f t="shared" si="85"/>
        <v>ÿ</v>
      </c>
      <c r="Q165" s="65" t="str">
        <f t="shared" si="86"/>
        <v>ÿ</v>
      </c>
      <c r="R165" s="2" t="str">
        <f t="shared" si="73"/>
        <v>ÿÿÿÿ</v>
      </c>
    </row>
    <row r="166" spans="1:18" x14ac:dyDescent="0.25">
      <c r="A166" s="47"/>
      <c r="B166" s="56" t="str">
        <f>Motor!C29</f>
        <v>DEFAULT_RESERVED_MOTOR</v>
      </c>
      <c r="C166" s="52" t="str">
        <f>Motor!B29</f>
        <v>3FA8C</v>
      </c>
      <c r="D166" s="22">
        <f>Motor!D29</f>
        <v>4294967295</v>
      </c>
      <c r="E166" s="25" t="str">
        <f t="shared" si="74"/>
        <v>FFFFFFFF</v>
      </c>
      <c r="F166" s="29">
        <f t="shared" si="95"/>
        <v>255</v>
      </c>
      <c r="G166" s="19">
        <f t="shared" si="96"/>
        <v>255</v>
      </c>
      <c r="H166" s="19">
        <f t="shared" si="97"/>
        <v>255</v>
      </c>
      <c r="I166" s="30">
        <f t="shared" si="98"/>
        <v>255</v>
      </c>
      <c r="J166" s="29" t="str">
        <f t="shared" si="99"/>
        <v>FF</v>
      </c>
      <c r="K166" s="19" t="str">
        <f t="shared" si="100"/>
        <v>FF</v>
      </c>
      <c r="L166" s="19" t="str">
        <f t="shared" si="101"/>
        <v>FF</v>
      </c>
      <c r="M166" s="30" t="str">
        <f t="shared" si="102"/>
        <v>FF</v>
      </c>
      <c r="N166" s="22" t="str">
        <f t="shared" si="83"/>
        <v>ÿ</v>
      </c>
      <c r="O166" s="19" t="str">
        <f t="shared" si="84"/>
        <v>ÿ</v>
      </c>
      <c r="P166" s="19" t="str">
        <f t="shared" si="85"/>
        <v>ÿ</v>
      </c>
      <c r="Q166" s="61" t="str">
        <f t="shared" si="86"/>
        <v>ÿ</v>
      </c>
      <c r="R166" s="64" t="str">
        <f t="shared" si="73"/>
        <v>ÿÿÿÿ</v>
      </c>
    </row>
    <row r="167" spans="1:18" x14ac:dyDescent="0.25">
      <c r="A167" s="48"/>
      <c r="B167" s="55" t="str">
        <f>Motor!C30</f>
        <v>DEFAULT_RESERVED_MOTOR</v>
      </c>
      <c r="C167" s="51" t="str">
        <f>Motor!B30</f>
        <v>3FA90</v>
      </c>
      <c r="D167" s="23">
        <f>Motor!D30</f>
        <v>4294967295</v>
      </c>
      <c r="E167" s="21" t="str">
        <f t="shared" si="74"/>
        <v>FFFFFFFF</v>
      </c>
      <c r="F167" s="31">
        <f t="shared" si="95"/>
        <v>255</v>
      </c>
      <c r="G167" s="18">
        <f t="shared" si="96"/>
        <v>255</v>
      </c>
      <c r="H167" s="18">
        <f t="shared" si="97"/>
        <v>255</v>
      </c>
      <c r="I167" s="32">
        <f t="shared" si="98"/>
        <v>255</v>
      </c>
      <c r="J167" s="31" t="str">
        <f t="shared" si="99"/>
        <v>FF</v>
      </c>
      <c r="K167" s="18" t="str">
        <f t="shared" si="100"/>
        <v>FF</v>
      </c>
      <c r="L167" s="18" t="str">
        <f t="shared" si="101"/>
        <v>FF</v>
      </c>
      <c r="M167" s="32" t="str">
        <f t="shared" si="102"/>
        <v>FF</v>
      </c>
      <c r="N167" s="23" t="str">
        <f t="shared" si="83"/>
        <v>ÿ</v>
      </c>
      <c r="O167" s="18" t="str">
        <f t="shared" si="84"/>
        <v>ÿ</v>
      </c>
      <c r="P167" s="18" t="str">
        <f t="shared" si="85"/>
        <v>ÿ</v>
      </c>
      <c r="Q167" s="65" t="str">
        <f t="shared" si="86"/>
        <v>ÿ</v>
      </c>
      <c r="R167" s="2" t="str">
        <f t="shared" si="73"/>
        <v>ÿÿÿÿ</v>
      </c>
    </row>
    <row r="168" spans="1:18" x14ac:dyDescent="0.25">
      <c r="A168" s="47"/>
      <c r="B168" s="56" t="str">
        <f>Motor!C31</f>
        <v>DEFAULT_RESERVED_MOTOR</v>
      </c>
      <c r="C168" s="52" t="str">
        <f>Motor!B31</f>
        <v>3FA94</v>
      </c>
      <c r="D168" s="22">
        <f>Motor!D31</f>
        <v>4294967295</v>
      </c>
      <c r="E168" s="25" t="str">
        <f t="shared" si="74"/>
        <v>FFFFFFFF</v>
      </c>
      <c r="F168" s="29">
        <f t="shared" si="95"/>
        <v>255</v>
      </c>
      <c r="G168" s="19">
        <f t="shared" si="96"/>
        <v>255</v>
      </c>
      <c r="H168" s="19">
        <f t="shared" si="97"/>
        <v>255</v>
      </c>
      <c r="I168" s="30">
        <f t="shared" si="98"/>
        <v>255</v>
      </c>
      <c r="J168" s="29" t="str">
        <f t="shared" si="99"/>
        <v>FF</v>
      </c>
      <c r="K168" s="19" t="str">
        <f t="shared" si="100"/>
        <v>FF</v>
      </c>
      <c r="L168" s="19" t="str">
        <f t="shared" si="101"/>
        <v>FF</v>
      </c>
      <c r="M168" s="30" t="str">
        <f t="shared" si="102"/>
        <v>FF</v>
      </c>
      <c r="N168" s="22" t="str">
        <f t="shared" si="83"/>
        <v>ÿ</v>
      </c>
      <c r="O168" s="19" t="str">
        <f t="shared" si="84"/>
        <v>ÿ</v>
      </c>
      <c r="P168" s="19" t="str">
        <f t="shared" si="85"/>
        <v>ÿ</v>
      </c>
      <c r="Q168" s="61" t="str">
        <f t="shared" si="86"/>
        <v>ÿ</v>
      </c>
      <c r="R168" s="64" t="str">
        <f t="shared" si="73"/>
        <v>ÿÿÿÿ</v>
      </c>
    </row>
    <row r="169" spans="1:18" x14ac:dyDescent="0.25">
      <c r="A169" s="48"/>
      <c r="B169" s="55" t="str">
        <f>Motor!C32</f>
        <v>DEFAULT_RESERVED_MOTOR</v>
      </c>
      <c r="C169" s="51" t="str">
        <f>Motor!B32</f>
        <v>3FA98</v>
      </c>
      <c r="D169" s="23">
        <f>Motor!D32</f>
        <v>4294967295</v>
      </c>
      <c r="E169" s="21" t="str">
        <f t="shared" si="74"/>
        <v>FFFFFFFF</v>
      </c>
      <c r="F169" s="31">
        <f t="shared" si="95"/>
        <v>255</v>
      </c>
      <c r="G169" s="18">
        <f t="shared" si="96"/>
        <v>255</v>
      </c>
      <c r="H169" s="18">
        <f t="shared" si="97"/>
        <v>255</v>
      </c>
      <c r="I169" s="32">
        <f t="shared" si="98"/>
        <v>255</v>
      </c>
      <c r="J169" s="31" t="str">
        <f t="shared" si="99"/>
        <v>FF</v>
      </c>
      <c r="K169" s="18" t="str">
        <f t="shared" si="100"/>
        <v>FF</v>
      </c>
      <c r="L169" s="18" t="str">
        <f t="shared" si="101"/>
        <v>FF</v>
      </c>
      <c r="M169" s="32" t="str">
        <f t="shared" si="102"/>
        <v>FF</v>
      </c>
      <c r="N169" s="23" t="str">
        <f t="shared" si="83"/>
        <v>ÿ</v>
      </c>
      <c r="O169" s="18" t="str">
        <f t="shared" si="84"/>
        <v>ÿ</v>
      </c>
      <c r="P169" s="18" t="str">
        <f t="shared" si="85"/>
        <v>ÿ</v>
      </c>
      <c r="Q169" s="65" t="str">
        <f t="shared" si="86"/>
        <v>ÿ</v>
      </c>
      <c r="R169" s="2" t="str">
        <f t="shared" si="73"/>
        <v>ÿÿÿÿ</v>
      </c>
    </row>
    <row r="170" spans="1:18" ht="15.75" thickBot="1" x14ac:dyDescent="0.3">
      <c r="A170" s="47"/>
      <c r="B170" s="58" t="str">
        <f>Motor!C33</f>
        <v>DEFAULT_RESERVED_MOTOR</v>
      </c>
      <c r="C170" s="68" t="str">
        <f>Motor!B33</f>
        <v>3FA9C</v>
      </c>
      <c r="D170" s="69">
        <f>Motor!D33</f>
        <v>4294967295</v>
      </c>
      <c r="E170" s="63" t="str">
        <f t="shared" si="74"/>
        <v>FFFFFFFF</v>
      </c>
      <c r="F170" s="62">
        <f t="shared" si="95"/>
        <v>255</v>
      </c>
      <c r="G170" s="70">
        <f t="shared" si="96"/>
        <v>255</v>
      </c>
      <c r="H170" s="70">
        <f t="shared" si="97"/>
        <v>255</v>
      </c>
      <c r="I170" s="71">
        <f t="shared" si="98"/>
        <v>255</v>
      </c>
      <c r="J170" s="62" t="str">
        <f t="shared" si="99"/>
        <v>FF</v>
      </c>
      <c r="K170" s="70" t="str">
        <f t="shared" si="100"/>
        <v>FF</v>
      </c>
      <c r="L170" s="70" t="str">
        <f t="shared" si="101"/>
        <v>FF</v>
      </c>
      <c r="M170" s="71" t="str">
        <f t="shared" si="102"/>
        <v>FF</v>
      </c>
      <c r="N170" s="69" t="str">
        <f t="shared" si="83"/>
        <v>ÿ</v>
      </c>
      <c r="O170" s="70" t="str">
        <f t="shared" si="84"/>
        <v>ÿ</v>
      </c>
      <c r="P170" s="70" t="str">
        <f t="shared" si="85"/>
        <v>ÿ</v>
      </c>
      <c r="Q170" s="72" t="str">
        <f t="shared" si="86"/>
        <v>ÿ</v>
      </c>
      <c r="R170" s="99" t="str">
        <f t="shared" si="73"/>
        <v>ÿÿÿÿ</v>
      </c>
    </row>
    <row r="171" spans="1:18" x14ac:dyDescent="0.25">
      <c r="A171" s="48"/>
      <c r="B171" s="57" t="str">
        <f>Sensor!C2</f>
        <v>DEFAULT_enRotorPoleAngleSensorModelNumber1</v>
      </c>
      <c r="C171" s="4" t="str">
        <f>Sensor!B2</f>
        <v>3FAA0</v>
      </c>
      <c r="D171" s="113" t="str">
        <f>Sensor!D2</f>
        <v>E30D</v>
      </c>
      <c r="E171" s="38" t="s">
        <v>114</v>
      </c>
      <c r="F171" s="39" t="s">
        <v>114</v>
      </c>
      <c r="G171" s="40" t="s">
        <v>114</v>
      </c>
      <c r="H171" s="40" t="s">
        <v>114</v>
      </c>
      <c r="I171" s="41" t="s">
        <v>114</v>
      </c>
      <c r="J171" s="37" t="str">
        <f t="shared" ref="J171:J179" si="103">MID($D171,1,1)</f>
        <v>E</v>
      </c>
      <c r="K171" s="40" t="str">
        <f t="shared" ref="K171:K179" si="104">MID($D171,2,1)</f>
        <v>3</v>
      </c>
      <c r="L171" s="40" t="str">
        <f t="shared" ref="L171:L179" si="105">MID($D171,3,1)</f>
        <v>0</v>
      </c>
      <c r="M171" s="66" t="str">
        <f t="shared" ref="M171:M179" si="106">MID($D171,4,1)</f>
        <v>D</v>
      </c>
      <c r="N171" s="37" t="str">
        <f t="shared" ref="N171:N179" si="107">MID($D171,1,1)</f>
        <v>E</v>
      </c>
      <c r="O171" s="40" t="str">
        <f t="shared" ref="O171:O179" si="108">MID($D171,2,1)</f>
        <v>3</v>
      </c>
      <c r="P171" s="40" t="str">
        <f t="shared" ref="P171:P179" si="109">MID($D171,3,1)</f>
        <v>0</v>
      </c>
      <c r="Q171" s="66" t="str">
        <f t="shared" ref="Q171:Q179" si="110">MID($D171,4,1)</f>
        <v>D</v>
      </c>
      <c r="R171" s="2" t="str">
        <f t="shared" si="73"/>
        <v>E30D</v>
      </c>
    </row>
    <row r="172" spans="1:18" x14ac:dyDescent="0.25">
      <c r="A172" s="47"/>
      <c r="B172" s="56" t="str">
        <f>Sensor!C3</f>
        <v>DEFAULT_enRotorPoleAngleSensorModelNumber2</v>
      </c>
      <c r="C172" s="52" t="str">
        <f>Sensor!B3</f>
        <v>3FAA4</v>
      </c>
      <c r="D172" s="115" t="str">
        <f>Sensor!D3</f>
        <v>-100</v>
      </c>
      <c r="E172" s="25" t="s">
        <v>114</v>
      </c>
      <c r="F172" s="29" t="s">
        <v>114</v>
      </c>
      <c r="G172" s="19" t="s">
        <v>114</v>
      </c>
      <c r="H172" s="19" t="s">
        <v>114</v>
      </c>
      <c r="I172" s="30" t="s">
        <v>114</v>
      </c>
      <c r="J172" s="22" t="str">
        <f t="shared" si="103"/>
        <v>-</v>
      </c>
      <c r="K172" s="19" t="str">
        <f t="shared" si="104"/>
        <v>1</v>
      </c>
      <c r="L172" s="19" t="str">
        <f t="shared" si="105"/>
        <v>0</v>
      </c>
      <c r="M172" s="61" t="str">
        <f t="shared" si="106"/>
        <v>0</v>
      </c>
      <c r="N172" s="22" t="str">
        <f t="shared" si="107"/>
        <v>-</v>
      </c>
      <c r="O172" s="19" t="str">
        <f t="shared" si="108"/>
        <v>1</v>
      </c>
      <c r="P172" s="19" t="str">
        <f t="shared" si="109"/>
        <v>0</v>
      </c>
      <c r="Q172" s="61" t="str">
        <f t="shared" si="110"/>
        <v>0</v>
      </c>
      <c r="R172" s="64" t="str">
        <f t="shared" si="73"/>
        <v>-100</v>
      </c>
    </row>
    <row r="173" spans="1:18" x14ac:dyDescent="0.25">
      <c r="A173" s="48"/>
      <c r="B173" s="55" t="str">
        <f>Sensor!C4</f>
        <v>DEFAULT_enRotorPoleAngleSensorModelNumber3</v>
      </c>
      <c r="C173" s="51" t="str">
        <f>Sensor!B4</f>
        <v>3FAA8</v>
      </c>
      <c r="D173" s="114" t="str">
        <f>Sensor!D4</f>
        <v xml:space="preserve">0   </v>
      </c>
      <c r="E173" s="21" t="s">
        <v>114</v>
      </c>
      <c r="F173" s="31" t="s">
        <v>114</v>
      </c>
      <c r="G173" s="18" t="s">
        <v>114</v>
      </c>
      <c r="H173" s="18" t="s">
        <v>114</v>
      </c>
      <c r="I173" s="32" t="s">
        <v>114</v>
      </c>
      <c r="J173" s="23" t="str">
        <f t="shared" si="103"/>
        <v>0</v>
      </c>
      <c r="K173" s="18" t="str">
        <f t="shared" si="104"/>
        <v xml:space="preserve"> </v>
      </c>
      <c r="L173" s="18" t="str">
        <f t="shared" si="105"/>
        <v xml:space="preserve"> </v>
      </c>
      <c r="M173" s="65" t="str">
        <f t="shared" si="106"/>
        <v xml:space="preserve"> </v>
      </c>
      <c r="N173" s="23" t="str">
        <f t="shared" si="107"/>
        <v>0</v>
      </c>
      <c r="O173" s="18" t="str">
        <f t="shared" si="108"/>
        <v xml:space="preserve"> </v>
      </c>
      <c r="P173" s="18" t="str">
        <f t="shared" si="109"/>
        <v xml:space="preserve"> </v>
      </c>
      <c r="Q173" s="65" t="str">
        <f t="shared" si="110"/>
        <v xml:space="preserve"> </v>
      </c>
      <c r="R173" s="2" t="str">
        <f t="shared" si="73"/>
        <v xml:space="preserve">0   </v>
      </c>
    </row>
    <row r="174" spans="1:18" x14ac:dyDescent="0.25">
      <c r="A174" s="48"/>
      <c r="B174" s="57" t="str">
        <f>Sensor!C5</f>
        <v>DEFAULT_enRotorVelocitySensorModelNumber1</v>
      </c>
      <c r="C174" s="4" t="str">
        <f>Sensor!B5</f>
        <v>3FAAC</v>
      </c>
      <c r="D174" s="113" t="str">
        <f>Sensor!D5</f>
        <v>E30D</v>
      </c>
      <c r="E174" s="38" t="s">
        <v>114</v>
      </c>
      <c r="F174" s="39" t="s">
        <v>114</v>
      </c>
      <c r="G174" s="40" t="s">
        <v>114</v>
      </c>
      <c r="H174" s="40" t="s">
        <v>114</v>
      </c>
      <c r="I174" s="41" t="s">
        <v>114</v>
      </c>
      <c r="J174" s="37" t="str">
        <f t="shared" si="103"/>
        <v>E</v>
      </c>
      <c r="K174" s="40" t="str">
        <f t="shared" si="104"/>
        <v>3</v>
      </c>
      <c r="L174" s="40" t="str">
        <f t="shared" si="105"/>
        <v>0</v>
      </c>
      <c r="M174" s="66" t="str">
        <f t="shared" si="106"/>
        <v>D</v>
      </c>
      <c r="N174" s="37" t="str">
        <f t="shared" si="107"/>
        <v>E</v>
      </c>
      <c r="O174" s="40" t="str">
        <f t="shared" si="108"/>
        <v>3</v>
      </c>
      <c r="P174" s="40" t="str">
        <f t="shared" si="109"/>
        <v>0</v>
      </c>
      <c r="Q174" s="66" t="str">
        <f t="shared" si="110"/>
        <v>D</v>
      </c>
      <c r="R174" s="2" t="str">
        <f t="shared" ref="R174:R179" si="111">_xlfn.CONCAT(N174,O174,P174,Q174)</f>
        <v>E30D</v>
      </c>
    </row>
    <row r="175" spans="1:18" x14ac:dyDescent="0.25">
      <c r="A175" s="47"/>
      <c r="B175" s="56" t="str">
        <f>Sensor!C6</f>
        <v>DEFAULT_enRotorVelocitySensorModelNumber2</v>
      </c>
      <c r="C175" s="52" t="str">
        <f>Sensor!B6</f>
        <v>3FAB0</v>
      </c>
      <c r="D175" s="115" t="str">
        <f>Sensor!D6</f>
        <v>-100</v>
      </c>
      <c r="E175" s="25" t="s">
        <v>114</v>
      </c>
      <c r="F175" s="29" t="s">
        <v>114</v>
      </c>
      <c r="G175" s="19" t="s">
        <v>114</v>
      </c>
      <c r="H175" s="19" t="s">
        <v>114</v>
      </c>
      <c r="I175" s="30" t="s">
        <v>114</v>
      </c>
      <c r="J175" s="22" t="str">
        <f t="shared" si="103"/>
        <v>-</v>
      </c>
      <c r="K175" s="19" t="str">
        <f t="shared" si="104"/>
        <v>1</v>
      </c>
      <c r="L175" s="19" t="str">
        <f t="shared" si="105"/>
        <v>0</v>
      </c>
      <c r="M175" s="61" t="str">
        <f t="shared" si="106"/>
        <v>0</v>
      </c>
      <c r="N175" s="22" t="str">
        <f t="shared" si="107"/>
        <v>-</v>
      </c>
      <c r="O175" s="19" t="str">
        <f t="shared" si="108"/>
        <v>1</v>
      </c>
      <c r="P175" s="19" t="str">
        <f t="shared" si="109"/>
        <v>0</v>
      </c>
      <c r="Q175" s="61" t="str">
        <f t="shared" si="110"/>
        <v>0</v>
      </c>
      <c r="R175" s="64" t="str">
        <f t="shared" si="111"/>
        <v>-100</v>
      </c>
    </row>
    <row r="176" spans="1:18" x14ac:dyDescent="0.25">
      <c r="A176" s="48"/>
      <c r="B176" s="55" t="str">
        <f>Sensor!C7</f>
        <v>DEFAULT_enRotorVelocitySensorModelNumber3</v>
      </c>
      <c r="C176" s="51" t="str">
        <f>Sensor!B7</f>
        <v>3FAB4</v>
      </c>
      <c r="D176" s="114" t="str">
        <f>Sensor!D7</f>
        <v xml:space="preserve">0   </v>
      </c>
      <c r="E176" s="21" t="s">
        <v>114</v>
      </c>
      <c r="F176" s="31" t="s">
        <v>114</v>
      </c>
      <c r="G176" s="18" t="s">
        <v>114</v>
      </c>
      <c r="H176" s="18" t="s">
        <v>114</v>
      </c>
      <c r="I176" s="32" t="s">
        <v>114</v>
      </c>
      <c r="J176" s="23" t="str">
        <f t="shared" si="103"/>
        <v>0</v>
      </c>
      <c r="K176" s="18" t="str">
        <f t="shared" si="104"/>
        <v xml:space="preserve"> </v>
      </c>
      <c r="L176" s="18" t="str">
        <f t="shared" si="105"/>
        <v xml:space="preserve"> </v>
      </c>
      <c r="M176" s="65" t="str">
        <f t="shared" si="106"/>
        <v xml:space="preserve"> </v>
      </c>
      <c r="N176" s="23" t="str">
        <f t="shared" si="107"/>
        <v>0</v>
      </c>
      <c r="O176" s="18" t="str">
        <f t="shared" si="108"/>
        <v xml:space="preserve"> </v>
      </c>
      <c r="P176" s="18" t="str">
        <f t="shared" si="109"/>
        <v xml:space="preserve"> </v>
      </c>
      <c r="Q176" s="65" t="str">
        <f t="shared" si="110"/>
        <v xml:space="preserve"> </v>
      </c>
      <c r="R176" s="2" t="str">
        <f t="shared" si="111"/>
        <v xml:space="preserve">0   </v>
      </c>
    </row>
    <row r="177" spans="1:18" x14ac:dyDescent="0.25">
      <c r="A177" s="48"/>
      <c r="B177" s="57" t="str">
        <f>Sensor!C8</f>
        <v>DEFAULT_enRotorPositionSensorModelNumber1</v>
      </c>
      <c r="C177" s="4" t="str">
        <f>Sensor!B8</f>
        <v>3FAB8</v>
      </c>
      <c r="D177" s="113" t="str">
        <f>Sensor!D8</f>
        <v>E30D</v>
      </c>
      <c r="E177" s="38" t="s">
        <v>114</v>
      </c>
      <c r="F177" s="39" t="s">
        <v>114</v>
      </c>
      <c r="G177" s="40" t="s">
        <v>114</v>
      </c>
      <c r="H177" s="40" t="s">
        <v>114</v>
      </c>
      <c r="I177" s="41" t="s">
        <v>114</v>
      </c>
      <c r="J177" s="37" t="str">
        <f t="shared" si="103"/>
        <v>E</v>
      </c>
      <c r="K177" s="40" t="str">
        <f t="shared" si="104"/>
        <v>3</v>
      </c>
      <c r="L177" s="40" t="str">
        <f t="shared" si="105"/>
        <v>0</v>
      </c>
      <c r="M177" s="66" t="str">
        <f t="shared" si="106"/>
        <v>D</v>
      </c>
      <c r="N177" s="37" t="str">
        <f t="shared" si="107"/>
        <v>E</v>
      </c>
      <c r="O177" s="40" t="str">
        <f t="shared" si="108"/>
        <v>3</v>
      </c>
      <c r="P177" s="40" t="str">
        <f t="shared" si="109"/>
        <v>0</v>
      </c>
      <c r="Q177" s="66" t="str">
        <f t="shared" si="110"/>
        <v>D</v>
      </c>
      <c r="R177" s="2" t="str">
        <f t="shared" si="111"/>
        <v>E30D</v>
      </c>
    </row>
    <row r="178" spans="1:18" x14ac:dyDescent="0.25">
      <c r="A178" s="47"/>
      <c r="B178" s="56" t="str">
        <f>Sensor!C9</f>
        <v>DEFAULT_enRotorPositionSensorModelNumber2</v>
      </c>
      <c r="C178" s="52" t="str">
        <f>Sensor!B9</f>
        <v>3FABC</v>
      </c>
      <c r="D178" s="115" t="str">
        <f>Sensor!D9</f>
        <v>-100</v>
      </c>
      <c r="E178" s="25" t="s">
        <v>114</v>
      </c>
      <c r="F178" s="29" t="s">
        <v>114</v>
      </c>
      <c r="G178" s="19" t="s">
        <v>114</v>
      </c>
      <c r="H178" s="19" t="s">
        <v>114</v>
      </c>
      <c r="I178" s="30" t="s">
        <v>114</v>
      </c>
      <c r="J178" s="22" t="str">
        <f t="shared" si="103"/>
        <v>-</v>
      </c>
      <c r="K178" s="19" t="str">
        <f t="shared" si="104"/>
        <v>1</v>
      </c>
      <c r="L178" s="19" t="str">
        <f t="shared" si="105"/>
        <v>0</v>
      </c>
      <c r="M178" s="61" t="str">
        <f t="shared" si="106"/>
        <v>0</v>
      </c>
      <c r="N178" s="22" t="str">
        <f t="shared" si="107"/>
        <v>-</v>
      </c>
      <c r="O178" s="19" t="str">
        <f t="shared" si="108"/>
        <v>1</v>
      </c>
      <c r="P178" s="19" t="str">
        <f t="shared" si="109"/>
        <v>0</v>
      </c>
      <c r="Q178" s="61" t="str">
        <f t="shared" si="110"/>
        <v>0</v>
      </c>
      <c r="R178" s="64" t="str">
        <f t="shared" si="111"/>
        <v>-100</v>
      </c>
    </row>
    <row r="179" spans="1:18" x14ac:dyDescent="0.25">
      <c r="A179" s="48"/>
      <c r="B179" s="55" t="str">
        <f>Sensor!C10</f>
        <v>DEFAULT_enRotorPositionSensorModelNumber3</v>
      </c>
      <c r="C179" s="51" t="str">
        <f>Sensor!B10</f>
        <v>3FAC0</v>
      </c>
      <c r="D179" s="23" t="str">
        <f>Sensor!D10</f>
        <v>0</v>
      </c>
      <c r="E179" s="21" t="s">
        <v>114</v>
      </c>
      <c r="F179" s="31" t="s">
        <v>114</v>
      </c>
      <c r="G179" s="18" t="s">
        <v>114</v>
      </c>
      <c r="H179" s="18" t="s">
        <v>114</v>
      </c>
      <c r="I179" s="32" t="s">
        <v>114</v>
      </c>
      <c r="J179" s="23" t="str">
        <f t="shared" si="103"/>
        <v>0</v>
      </c>
      <c r="K179" s="18" t="str">
        <f t="shared" si="104"/>
        <v/>
      </c>
      <c r="L179" s="18" t="str">
        <f t="shared" si="105"/>
        <v/>
      </c>
      <c r="M179" s="65" t="str">
        <f t="shared" si="106"/>
        <v/>
      </c>
      <c r="N179" s="23" t="str">
        <f t="shared" si="107"/>
        <v>0</v>
      </c>
      <c r="O179" s="18" t="str">
        <f t="shared" si="108"/>
        <v/>
      </c>
      <c r="P179" s="18" t="str">
        <f t="shared" si="109"/>
        <v/>
      </c>
      <c r="Q179" s="65" t="str">
        <f t="shared" si="110"/>
        <v/>
      </c>
      <c r="R179" s="2" t="str">
        <f t="shared" si="111"/>
        <v>0</v>
      </c>
    </row>
    <row r="180" spans="1:18" x14ac:dyDescent="0.25">
      <c r="A180" s="47"/>
      <c r="B180" s="56" t="str">
        <f>Sensor!C11</f>
        <v>DEFAULT_enRotorPoleAngleSensorSelect</v>
      </c>
      <c r="C180" s="52" t="str">
        <f>Sensor!B11</f>
        <v>3FAC4</v>
      </c>
      <c r="D180" s="22">
        <f>Sensor!D11</f>
        <v>2</v>
      </c>
      <c r="E180" s="25" t="str">
        <f t="shared" ref="E180:E195" si="112">IF(D180&gt;=0,DEC2HEX(D180),DEC2HEX(D180+ 2^32))</f>
        <v>2</v>
      </c>
      <c r="F180" s="29">
        <f>IF(D180 &gt;= 0,TRUNC(D180/(2^24)),TRUNC((D180 + 2^32)/(2^24)))</f>
        <v>0</v>
      </c>
      <c r="G180" s="19">
        <f>IF(D180&gt;=0,TRUNC((D180-(F180*2^24))/(2^16)),TRUNC(((D180+2^32)-(F180*2^24))/(2^16)))</f>
        <v>0</v>
      </c>
      <c r="H180" s="19">
        <f>IF(D180&gt;=0,TRUNC((D180-((F180*2^24)+(G180*2^16)))/2^8),TRUNC(((D180 + 2^32)-((F180*2^24)+(G180*2^16)))/2^8))</f>
        <v>0</v>
      </c>
      <c r="I180" s="30">
        <f>IF(D180&gt;=0,TRUNC((D180-((F180*2^24)+(G180*2^16)+(H180*2^8)))),TRUNC(((D180+2^32)-((F180*2^24)+(G180*2^16)+(H180*2^8)))))</f>
        <v>2</v>
      </c>
      <c r="J180" s="29" t="str">
        <f>DEC2HEX(F180)</f>
        <v>0</v>
      </c>
      <c r="K180" s="19" t="str">
        <f>DEC2HEX(G180)</f>
        <v>0</v>
      </c>
      <c r="L180" s="19" t="str">
        <f>DEC2HEX(H180)</f>
        <v>0</v>
      </c>
      <c r="M180" s="30" t="str">
        <f>DEC2HEX(I180)</f>
        <v>2</v>
      </c>
      <c r="N180" s="22" t="str">
        <f t="shared" ref="N180:N195" si="113">IF(F180&lt;&gt;0,CHAR(F180),"")</f>
        <v/>
      </c>
      <c r="O180" s="19" t="str">
        <f t="shared" ref="O180:O195" si="114">IF(G180&lt;&gt;0,CHAR(G180),"")</f>
        <v/>
      </c>
      <c r="P180" s="19" t="str">
        <f t="shared" ref="P180:P195" si="115">IF(H180&lt;&gt;0,CHAR(H180),"")</f>
        <v/>
      </c>
      <c r="Q180" s="61" t="str">
        <f t="shared" ref="Q180:Q195" si="116">IF(I180&lt;&gt;0,CHAR(I180),"")</f>
        <v>_x0002_</v>
      </c>
      <c r="R180" s="64" t="str">
        <f t="shared" si="73"/>
        <v>_x0002_</v>
      </c>
    </row>
    <row r="181" spans="1:18" x14ac:dyDescent="0.25">
      <c r="A181" s="48"/>
      <c r="B181" s="55" t="str">
        <f>Sensor!C12</f>
        <v>DEFAULT_enRotorVelocitySensorSelect</v>
      </c>
      <c r="C181" s="51" t="str">
        <f>Sensor!B12</f>
        <v>3FAC8</v>
      </c>
      <c r="D181" s="23">
        <f>Sensor!D12</f>
        <v>2</v>
      </c>
      <c r="E181" s="21" t="str">
        <f t="shared" si="112"/>
        <v>2</v>
      </c>
      <c r="F181" s="31">
        <f t="shared" ref="F181:F190" si="117">IF(D181 &gt;= 0,TRUNC(D181/(2^24)),TRUNC((D181 + 2^32)/(2^24)))</f>
        <v>0</v>
      </c>
      <c r="G181" s="18">
        <f t="shared" ref="G181:G190" si="118">IF(D181&gt;=0,TRUNC((D181-(F181*2^24))/(2^16)),TRUNC(((D181+2^32)-(F181*2^24))/(2^16)))</f>
        <v>0</v>
      </c>
      <c r="H181" s="18">
        <f t="shared" ref="H181:H190" si="119">IF(D181&gt;=0,TRUNC((D181-((F181*2^24)+(G181*2^16)))/2^8),TRUNC(((D181 + 2^32)-((F181*2^24)+(G181*2^16)))/2^8))</f>
        <v>0</v>
      </c>
      <c r="I181" s="32">
        <f t="shared" ref="I181:I190" si="120">IF(D181&gt;=0,TRUNC((D181-((F181*2^24)+(G181*2^16)+(H181*2^8)))),TRUNC(((D181+2^32)-((F181*2^24)+(G181*2^16)+(H181*2^8)))))</f>
        <v>2</v>
      </c>
      <c r="J181" s="31" t="str">
        <f t="shared" ref="J181:J190" si="121">DEC2HEX(F181)</f>
        <v>0</v>
      </c>
      <c r="K181" s="18" t="str">
        <f t="shared" ref="K181:K190" si="122">DEC2HEX(G181)</f>
        <v>0</v>
      </c>
      <c r="L181" s="18" t="str">
        <f t="shared" ref="L181:L190" si="123">DEC2HEX(H181)</f>
        <v>0</v>
      </c>
      <c r="M181" s="32" t="str">
        <f t="shared" ref="M181:M190" si="124">DEC2HEX(I181)</f>
        <v>2</v>
      </c>
      <c r="N181" s="23" t="str">
        <f t="shared" si="113"/>
        <v/>
      </c>
      <c r="O181" s="18" t="str">
        <f t="shared" si="114"/>
        <v/>
      </c>
      <c r="P181" s="18" t="str">
        <f t="shared" si="115"/>
        <v/>
      </c>
      <c r="Q181" s="65" t="str">
        <f t="shared" si="116"/>
        <v>_x0002_</v>
      </c>
      <c r="R181" s="2" t="str">
        <f t="shared" si="73"/>
        <v>_x0002_</v>
      </c>
    </row>
    <row r="182" spans="1:18" x14ac:dyDescent="0.25">
      <c r="A182" s="47"/>
      <c r="B182" s="56" t="str">
        <f>Sensor!C13</f>
        <v>DEFAULT_enRotorPositionSensorSelect</v>
      </c>
      <c r="C182" s="52" t="str">
        <f>Sensor!B13</f>
        <v>3FACC</v>
      </c>
      <c r="D182" s="22">
        <f>Sensor!D13</f>
        <v>2</v>
      </c>
      <c r="E182" s="25" t="str">
        <f t="shared" si="112"/>
        <v>2</v>
      </c>
      <c r="F182" s="29">
        <f t="shared" si="117"/>
        <v>0</v>
      </c>
      <c r="G182" s="19">
        <f t="shared" si="118"/>
        <v>0</v>
      </c>
      <c r="H182" s="19">
        <f t="shared" si="119"/>
        <v>0</v>
      </c>
      <c r="I182" s="30">
        <f t="shared" si="120"/>
        <v>2</v>
      </c>
      <c r="J182" s="29" t="str">
        <f t="shared" si="121"/>
        <v>0</v>
      </c>
      <c r="K182" s="19" t="str">
        <f t="shared" si="122"/>
        <v>0</v>
      </c>
      <c r="L182" s="19" t="str">
        <f t="shared" si="123"/>
        <v>0</v>
      </c>
      <c r="M182" s="30" t="str">
        <f t="shared" si="124"/>
        <v>2</v>
      </c>
      <c r="N182" s="22" t="str">
        <f t="shared" si="113"/>
        <v/>
      </c>
      <c r="O182" s="19" t="str">
        <f t="shared" si="114"/>
        <v/>
      </c>
      <c r="P182" s="19" t="str">
        <f t="shared" si="115"/>
        <v/>
      </c>
      <c r="Q182" s="61" t="str">
        <f t="shared" si="116"/>
        <v>_x0002_</v>
      </c>
      <c r="R182" s="64" t="str">
        <f t="shared" si="73"/>
        <v>_x0002_</v>
      </c>
    </row>
    <row r="183" spans="1:18" x14ac:dyDescent="0.25">
      <c r="A183" s="48"/>
      <c r="B183" s="55" t="str">
        <f>Sensor!C14</f>
        <v>DEFAULT_isHallEffectSensorAvailable</v>
      </c>
      <c r="C183" s="51" t="str">
        <f>Sensor!B14</f>
        <v>3FAD0</v>
      </c>
      <c r="D183" s="23">
        <f>Sensor!D14</f>
        <v>1</v>
      </c>
      <c r="E183" s="21" t="str">
        <f t="shared" si="112"/>
        <v>1</v>
      </c>
      <c r="F183" s="31">
        <f t="shared" si="117"/>
        <v>0</v>
      </c>
      <c r="G183" s="18">
        <f t="shared" si="118"/>
        <v>0</v>
      </c>
      <c r="H183" s="18">
        <f t="shared" si="119"/>
        <v>0</v>
      </c>
      <c r="I183" s="32">
        <f t="shared" si="120"/>
        <v>1</v>
      </c>
      <c r="J183" s="31" t="str">
        <f t="shared" si="121"/>
        <v>0</v>
      </c>
      <c r="K183" s="18" t="str">
        <f t="shared" si="122"/>
        <v>0</v>
      </c>
      <c r="L183" s="18" t="str">
        <f t="shared" si="123"/>
        <v>0</v>
      </c>
      <c r="M183" s="32" t="str">
        <f t="shared" si="124"/>
        <v>1</v>
      </c>
      <c r="N183" s="23" t="str">
        <f t="shared" si="113"/>
        <v/>
      </c>
      <c r="O183" s="18" t="str">
        <f t="shared" si="114"/>
        <v/>
      </c>
      <c r="P183" s="18" t="str">
        <f t="shared" si="115"/>
        <v/>
      </c>
      <c r="Q183" s="65" t="str">
        <f t="shared" si="116"/>
        <v>_x0001_</v>
      </c>
      <c r="R183" s="2" t="str">
        <f t="shared" si="73"/>
        <v>_x0001_</v>
      </c>
    </row>
    <row r="184" spans="1:18" x14ac:dyDescent="0.25">
      <c r="A184" s="47"/>
      <c r="B184" s="56" t="str">
        <f>Sensor!C15</f>
        <v>DEFAULT_isQuadratureEncoderAvailable</v>
      </c>
      <c r="C184" s="52" t="str">
        <f>Sensor!B15</f>
        <v>3FAD4</v>
      </c>
      <c r="D184" s="22">
        <f>Sensor!D15</f>
        <v>1</v>
      </c>
      <c r="E184" s="25" t="str">
        <f t="shared" si="112"/>
        <v>1</v>
      </c>
      <c r="F184" s="29">
        <f t="shared" si="117"/>
        <v>0</v>
      </c>
      <c r="G184" s="19">
        <f t="shared" si="118"/>
        <v>0</v>
      </c>
      <c r="H184" s="19">
        <f t="shared" si="119"/>
        <v>0</v>
      </c>
      <c r="I184" s="30">
        <f t="shared" si="120"/>
        <v>1</v>
      </c>
      <c r="J184" s="29" t="str">
        <f t="shared" si="121"/>
        <v>0</v>
      </c>
      <c r="K184" s="19" t="str">
        <f t="shared" si="122"/>
        <v>0</v>
      </c>
      <c r="L184" s="19" t="str">
        <f t="shared" si="123"/>
        <v>0</v>
      </c>
      <c r="M184" s="30" t="str">
        <f t="shared" si="124"/>
        <v>1</v>
      </c>
      <c r="N184" s="22" t="str">
        <f t="shared" si="113"/>
        <v/>
      </c>
      <c r="O184" s="19" t="str">
        <f t="shared" si="114"/>
        <v/>
      </c>
      <c r="P184" s="19" t="str">
        <f t="shared" si="115"/>
        <v/>
      </c>
      <c r="Q184" s="61" t="str">
        <f t="shared" si="116"/>
        <v>_x0001_</v>
      </c>
      <c r="R184" s="64" t="str">
        <f t="shared" si="73"/>
        <v>_x0001_</v>
      </c>
    </row>
    <row r="185" spans="1:18" x14ac:dyDescent="0.25">
      <c r="A185" s="48"/>
      <c r="B185" s="55" t="str">
        <f>Sensor!C16</f>
        <v>DEFAULT_isMASeriesSensorAvailable</v>
      </c>
      <c r="C185" s="51" t="str">
        <f>Sensor!B16</f>
        <v>3FAD8</v>
      </c>
      <c r="D185" s="23">
        <f>Sensor!D16</f>
        <v>0</v>
      </c>
      <c r="E185" s="21" t="str">
        <f t="shared" si="112"/>
        <v>0</v>
      </c>
      <c r="F185" s="31">
        <f t="shared" si="117"/>
        <v>0</v>
      </c>
      <c r="G185" s="18">
        <f t="shared" si="118"/>
        <v>0</v>
      </c>
      <c r="H185" s="18">
        <f t="shared" si="119"/>
        <v>0</v>
      </c>
      <c r="I185" s="32">
        <f t="shared" si="120"/>
        <v>0</v>
      </c>
      <c r="J185" s="31" t="str">
        <f t="shared" si="121"/>
        <v>0</v>
      </c>
      <c r="K185" s="18" t="str">
        <f t="shared" si="122"/>
        <v>0</v>
      </c>
      <c r="L185" s="18" t="str">
        <f t="shared" si="123"/>
        <v>0</v>
      </c>
      <c r="M185" s="32" t="str">
        <f t="shared" si="124"/>
        <v>0</v>
      </c>
      <c r="N185" s="23" t="str">
        <f t="shared" si="113"/>
        <v/>
      </c>
      <c r="O185" s="18" t="str">
        <f t="shared" si="114"/>
        <v/>
      </c>
      <c r="P185" s="18" t="str">
        <f t="shared" si="115"/>
        <v/>
      </c>
      <c r="Q185" s="65" t="str">
        <f t="shared" si="116"/>
        <v/>
      </c>
      <c r="R185" s="2" t="str">
        <f t="shared" si="73"/>
        <v/>
      </c>
    </row>
    <row r="186" spans="1:18" x14ac:dyDescent="0.25">
      <c r="A186" s="47"/>
      <c r="B186" s="56" t="str">
        <f>Sensor!C17</f>
        <v>DEFAULT_isCAMSeriesSensorAvailable</v>
      </c>
      <c r="C186" s="52" t="str">
        <f>Sensor!B17</f>
        <v>3FADC</v>
      </c>
      <c r="D186" s="22">
        <f>Sensor!D17</f>
        <v>0</v>
      </c>
      <c r="E186" s="25" t="str">
        <f t="shared" si="112"/>
        <v>0</v>
      </c>
      <c r="F186" s="29">
        <f t="shared" si="117"/>
        <v>0</v>
      </c>
      <c r="G186" s="19">
        <f t="shared" si="118"/>
        <v>0</v>
      </c>
      <c r="H186" s="19">
        <f t="shared" si="119"/>
        <v>0</v>
      </c>
      <c r="I186" s="30">
        <f t="shared" si="120"/>
        <v>0</v>
      </c>
      <c r="J186" s="29" t="str">
        <f t="shared" si="121"/>
        <v>0</v>
      </c>
      <c r="K186" s="19" t="str">
        <f t="shared" si="122"/>
        <v>0</v>
      </c>
      <c r="L186" s="19" t="str">
        <f t="shared" si="123"/>
        <v>0</v>
      </c>
      <c r="M186" s="30" t="str">
        <f t="shared" si="124"/>
        <v>0</v>
      </c>
      <c r="N186" s="22" t="str">
        <f t="shared" si="113"/>
        <v/>
      </c>
      <c r="O186" s="19" t="str">
        <f t="shared" si="114"/>
        <v/>
      </c>
      <c r="P186" s="19" t="str">
        <f t="shared" si="115"/>
        <v/>
      </c>
      <c r="Q186" s="61" t="str">
        <f t="shared" si="116"/>
        <v/>
      </c>
      <c r="R186" s="64" t="str">
        <f t="shared" si="73"/>
        <v/>
      </c>
    </row>
    <row r="187" spans="1:18" x14ac:dyDescent="0.25">
      <c r="A187" s="48"/>
      <c r="B187" s="55" t="str">
        <f>Sensor!C18</f>
        <v>DEFAULT_QuadratureEncoderCountsPerRev</v>
      </c>
      <c r="C187" s="51" t="str">
        <f>Sensor!B18</f>
        <v>3FAE0</v>
      </c>
      <c r="D187" s="23">
        <f>Sensor!D18</f>
        <v>1000</v>
      </c>
      <c r="E187" s="21" t="str">
        <f t="shared" si="112"/>
        <v>3E8</v>
      </c>
      <c r="F187" s="31">
        <f t="shared" si="117"/>
        <v>0</v>
      </c>
      <c r="G187" s="18">
        <f t="shared" si="118"/>
        <v>0</v>
      </c>
      <c r="H187" s="18">
        <f t="shared" si="119"/>
        <v>3</v>
      </c>
      <c r="I187" s="32">
        <f t="shared" si="120"/>
        <v>232</v>
      </c>
      <c r="J187" s="31" t="str">
        <f t="shared" si="121"/>
        <v>0</v>
      </c>
      <c r="K187" s="18" t="str">
        <f t="shared" si="122"/>
        <v>0</v>
      </c>
      <c r="L187" s="18" t="str">
        <f t="shared" si="123"/>
        <v>3</v>
      </c>
      <c r="M187" s="32" t="str">
        <f t="shared" si="124"/>
        <v>E8</v>
      </c>
      <c r="N187" s="23" t="str">
        <f t="shared" si="113"/>
        <v/>
      </c>
      <c r="O187" s="18" t="str">
        <f t="shared" si="114"/>
        <v/>
      </c>
      <c r="P187" s="18" t="str">
        <f t="shared" si="115"/>
        <v>_x0003_</v>
      </c>
      <c r="Q187" s="65" t="str">
        <f t="shared" si="116"/>
        <v>è</v>
      </c>
      <c r="R187" s="2" t="str">
        <f t="shared" si="73"/>
        <v>_x0003_è</v>
      </c>
    </row>
    <row r="188" spans="1:18" x14ac:dyDescent="0.25">
      <c r="A188" s="47"/>
      <c r="B188" s="56" t="str">
        <f>Sensor!C19</f>
        <v>DEFAULT_isSwapQuadratureEncoderChannels</v>
      </c>
      <c r="C188" s="52" t="str">
        <f>Sensor!B19</f>
        <v>3FAE4</v>
      </c>
      <c r="D188" s="22">
        <f>Sensor!D19</f>
        <v>1</v>
      </c>
      <c r="E188" s="25" t="str">
        <f t="shared" si="112"/>
        <v>1</v>
      </c>
      <c r="F188" s="29">
        <f t="shared" si="117"/>
        <v>0</v>
      </c>
      <c r="G188" s="19">
        <f t="shared" si="118"/>
        <v>0</v>
      </c>
      <c r="H188" s="19">
        <f t="shared" si="119"/>
        <v>0</v>
      </c>
      <c r="I188" s="30">
        <f t="shared" si="120"/>
        <v>1</v>
      </c>
      <c r="J188" s="29" t="str">
        <f t="shared" si="121"/>
        <v>0</v>
      </c>
      <c r="K188" s="19" t="str">
        <f t="shared" si="122"/>
        <v>0</v>
      </c>
      <c r="L188" s="19" t="str">
        <f t="shared" si="123"/>
        <v>0</v>
      </c>
      <c r="M188" s="30" t="str">
        <f t="shared" si="124"/>
        <v>1</v>
      </c>
      <c r="N188" s="22" t="str">
        <f t="shared" si="113"/>
        <v/>
      </c>
      <c r="O188" s="19" t="str">
        <f t="shared" si="114"/>
        <v/>
      </c>
      <c r="P188" s="19" t="str">
        <f t="shared" si="115"/>
        <v/>
      </c>
      <c r="Q188" s="61" t="str">
        <f t="shared" si="116"/>
        <v>_x0001_</v>
      </c>
      <c r="R188" s="64" t="str">
        <f t="shared" si="73"/>
        <v>_x0001_</v>
      </c>
    </row>
    <row r="189" spans="1:18" x14ac:dyDescent="0.25">
      <c r="A189" s="48"/>
      <c r="B189" s="55" t="str">
        <f>Sensor!C20</f>
        <v>DEFAULT_isComplementHallSignals</v>
      </c>
      <c r="C189" s="51" t="str">
        <f>Sensor!B20</f>
        <v>3FAE8</v>
      </c>
      <c r="D189" s="23">
        <f>Sensor!D20</f>
        <v>0</v>
      </c>
      <c r="E189" s="21" t="str">
        <f t="shared" si="112"/>
        <v>0</v>
      </c>
      <c r="F189" s="31">
        <f t="shared" si="117"/>
        <v>0</v>
      </c>
      <c r="G189" s="18">
        <f t="shared" si="118"/>
        <v>0</v>
      </c>
      <c r="H189" s="18">
        <f t="shared" si="119"/>
        <v>0</v>
      </c>
      <c r="I189" s="32">
        <f t="shared" si="120"/>
        <v>0</v>
      </c>
      <c r="J189" s="31" t="str">
        <f t="shared" si="121"/>
        <v>0</v>
      </c>
      <c r="K189" s="18" t="str">
        <f t="shared" si="122"/>
        <v>0</v>
      </c>
      <c r="L189" s="18" t="str">
        <f t="shared" si="123"/>
        <v>0</v>
      </c>
      <c r="M189" s="32" t="str">
        <f t="shared" si="124"/>
        <v>0</v>
      </c>
      <c r="N189" s="23" t="str">
        <f t="shared" si="113"/>
        <v/>
      </c>
      <c r="O189" s="18" t="str">
        <f t="shared" si="114"/>
        <v/>
      </c>
      <c r="P189" s="18" t="str">
        <f t="shared" si="115"/>
        <v/>
      </c>
      <c r="Q189" s="65" t="str">
        <f t="shared" si="116"/>
        <v/>
      </c>
      <c r="R189" s="2" t="str">
        <f t="shared" si="73"/>
        <v/>
      </c>
    </row>
    <row r="190" spans="1:18" x14ac:dyDescent="0.25">
      <c r="A190" s="47"/>
      <c r="B190" s="56" t="str">
        <f>Sensor!C21</f>
        <v>DEFAULT_ForcedAlignDelayTimemS</v>
      </c>
      <c r="C190" s="52" t="str">
        <f>Sensor!B21</f>
        <v>3FAEC</v>
      </c>
      <c r="D190" s="22">
        <f>Sensor!D21</f>
        <v>2000</v>
      </c>
      <c r="E190" s="25" t="str">
        <f t="shared" si="112"/>
        <v>7D0</v>
      </c>
      <c r="F190" s="29">
        <f t="shared" si="117"/>
        <v>0</v>
      </c>
      <c r="G190" s="19">
        <f t="shared" si="118"/>
        <v>0</v>
      </c>
      <c r="H190" s="19">
        <f t="shared" si="119"/>
        <v>7</v>
      </c>
      <c r="I190" s="30">
        <f t="shared" si="120"/>
        <v>208</v>
      </c>
      <c r="J190" s="29" t="str">
        <f t="shared" si="121"/>
        <v>0</v>
      </c>
      <c r="K190" s="19" t="str">
        <f t="shared" si="122"/>
        <v>0</v>
      </c>
      <c r="L190" s="19" t="str">
        <f t="shared" si="123"/>
        <v>7</v>
      </c>
      <c r="M190" s="30" t="str">
        <f t="shared" si="124"/>
        <v>D0</v>
      </c>
      <c r="N190" s="22" t="str">
        <f t="shared" si="113"/>
        <v/>
      </c>
      <c r="O190" s="19" t="str">
        <f t="shared" si="114"/>
        <v/>
      </c>
      <c r="P190" s="19" t="str">
        <f t="shared" si="115"/>
        <v>_x0007_</v>
      </c>
      <c r="Q190" s="61" t="str">
        <f t="shared" si="116"/>
        <v>Ð</v>
      </c>
      <c r="R190" s="64" t="str">
        <f t="shared" si="73"/>
        <v>_x0007_Ð</v>
      </c>
    </row>
    <row r="191" spans="1:18" x14ac:dyDescent="0.25">
      <c r="A191" s="48"/>
      <c r="B191" s="55" t="str">
        <f>Sensor!C22</f>
        <v>DEFAULT_isARSeriesSensorAvailable</v>
      </c>
      <c r="C191" s="51" t="str">
        <f>Sensor!B22</f>
        <v>3FAF0</v>
      </c>
      <c r="D191" s="23">
        <f>Sensor!D22</f>
        <v>0</v>
      </c>
      <c r="E191" s="21" t="str">
        <f t="shared" si="112"/>
        <v>0</v>
      </c>
      <c r="F191" s="31">
        <f>IF(D191 &gt;= 0,TRUNC(D191/(2^24)),TRUNC((D191 + 2^32)/(2^24)))</f>
        <v>0</v>
      </c>
      <c r="G191" s="18">
        <f>IF(D191&gt;=0,TRUNC((D191-(F191*2^24))/(2^16)),TRUNC(((D191+2^32)-(F191*2^24))/(2^16)))</f>
        <v>0</v>
      </c>
      <c r="H191" s="18">
        <f>IF(D191&gt;=0,TRUNC((D191-((F191*2^24)+(G191*2^16)))/2^8),TRUNC(((D191 + 2^32)-((F191*2^24)+(G191*2^16)))/2^8))</f>
        <v>0</v>
      </c>
      <c r="I191" s="32">
        <f>IF(D191&gt;=0,TRUNC((D191-((F191*2^24)+(G191*2^16)+(H191*2^8)))),TRUNC(((D191+2^32)-((F191*2^24)+(G191*2^16)+(H191*2^8)))))</f>
        <v>0</v>
      </c>
      <c r="J191" s="31" t="str">
        <f t="shared" ref="J191:M195" si="125">DEC2HEX(F191)</f>
        <v>0</v>
      </c>
      <c r="K191" s="18" t="str">
        <f t="shared" si="125"/>
        <v>0</v>
      </c>
      <c r="L191" s="18" t="str">
        <f t="shared" si="125"/>
        <v>0</v>
      </c>
      <c r="M191" s="32" t="str">
        <f t="shared" si="125"/>
        <v>0</v>
      </c>
      <c r="N191" s="23" t="str">
        <f t="shared" si="113"/>
        <v/>
      </c>
      <c r="O191" s="18" t="str">
        <f t="shared" si="114"/>
        <v/>
      </c>
      <c r="P191" s="18" t="str">
        <f t="shared" si="115"/>
        <v/>
      </c>
      <c r="Q191" s="65" t="str">
        <f t="shared" si="116"/>
        <v/>
      </c>
      <c r="R191" s="2" t="str">
        <f t="shared" si="73"/>
        <v/>
      </c>
    </row>
    <row r="192" spans="1:18" x14ac:dyDescent="0.25">
      <c r="A192" s="47"/>
      <c r="B192" s="56" t="str">
        <f>Sensor!C23</f>
        <v>DEFAULT_RESERVED_SENSOR</v>
      </c>
      <c r="C192" s="52" t="str">
        <f>Sensor!B23</f>
        <v>3FAF4</v>
      </c>
      <c r="D192" s="22">
        <f>Sensor!D23</f>
        <v>4294967295</v>
      </c>
      <c r="E192" s="25" t="str">
        <f t="shared" si="112"/>
        <v>FFFFFFFF</v>
      </c>
      <c r="F192" s="29">
        <f>IF(D192 &gt;= 0,TRUNC(D192/(2^24)),TRUNC((D192 + 2^32)/(2^24)))</f>
        <v>255</v>
      </c>
      <c r="G192" s="19">
        <f>IF(D192&gt;=0,TRUNC((D192-(F192*2^24))/(2^16)),TRUNC(((D192+2^32)-(F192*2^24))/(2^16)))</f>
        <v>255</v>
      </c>
      <c r="H192" s="19">
        <f>IF(D192&gt;=0,TRUNC((D192-((F192*2^24)+(G192*2^16)))/2^8),TRUNC(((D192 + 2^32)-((F192*2^24)+(G192*2^16)))/2^8))</f>
        <v>255</v>
      </c>
      <c r="I192" s="30">
        <f>IF(D192&gt;=0,TRUNC((D192-((F192*2^24)+(G192*2^16)+(H192*2^8)))),TRUNC(((D192+2^32)-((F192*2^24)+(G192*2^16)+(H192*2^8)))))</f>
        <v>255</v>
      </c>
      <c r="J192" s="29" t="str">
        <f t="shared" si="125"/>
        <v>FF</v>
      </c>
      <c r="K192" s="19" t="str">
        <f t="shared" si="125"/>
        <v>FF</v>
      </c>
      <c r="L192" s="19" t="str">
        <f t="shared" si="125"/>
        <v>FF</v>
      </c>
      <c r="M192" s="30" t="str">
        <f t="shared" si="125"/>
        <v>FF</v>
      </c>
      <c r="N192" s="22" t="str">
        <f t="shared" si="113"/>
        <v>ÿ</v>
      </c>
      <c r="O192" s="19" t="str">
        <f t="shared" si="114"/>
        <v>ÿ</v>
      </c>
      <c r="P192" s="19" t="str">
        <f t="shared" si="115"/>
        <v>ÿ</v>
      </c>
      <c r="Q192" s="61" t="str">
        <f t="shared" si="116"/>
        <v>ÿ</v>
      </c>
      <c r="R192" s="64" t="str">
        <f t="shared" si="73"/>
        <v>ÿÿÿÿ</v>
      </c>
    </row>
    <row r="193" spans="1:18" x14ac:dyDescent="0.25">
      <c r="A193" s="48"/>
      <c r="B193" s="55" t="str">
        <f>Sensor!C24</f>
        <v>DEFAULT_RESERVED_SENSOR</v>
      </c>
      <c r="C193" s="51" t="str">
        <f>Sensor!B24</f>
        <v>3FAF8</v>
      </c>
      <c r="D193" s="23">
        <f>Sensor!D24</f>
        <v>4294967295</v>
      </c>
      <c r="E193" s="21" t="str">
        <f t="shared" si="112"/>
        <v>FFFFFFFF</v>
      </c>
      <c r="F193" s="31">
        <f>IF(D193 &gt;= 0,TRUNC(D193/(2^24)),TRUNC((D193 + 2^32)/(2^24)))</f>
        <v>255</v>
      </c>
      <c r="G193" s="18">
        <f>IF(D193&gt;=0,TRUNC((D193-(F193*2^24))/(2^16)),TRUNC(((D193+2^32)-(F193*2^24))/(2^16)))</f>
        <v>255</v>
      </c>
      <c r="H193" s="18">
        <f>IF(D193&gt;=0,TRUNC((D193-((F193*2^24)+(G193*2^16)))/2^8),TRUNC(((D193 + 2^32)-((F193*2^24)+(G193*2^16)))/2^8))</f>
        <v>255</v>
      </c>
      <c r="I193" s="32">
        <f>IF(D193&gt;=0,TRUNC((D193-((F193*2^24)+(G193*2^16)+(H193*2^8)))),TRUNC(((D193+2^32)-((F193*2^24)+(G193*2^16)+(H193*2^8)))))</f>
        <v>255</v>
      </c>
      <c r="J193" s="31" t="str">
        <f t="shared" si="125"/>
        <v>FF</v>
      </c>
      <c r="K193" s="18" t="str">
        <f t="shared" si="125"/>
        <v>FF</v>
      </c>
      <c r="L193" s="18" t="str">
        <f t="shared" si="125"/>
        <v>FF</v>
      </c>
      <c r="M193" s="32" t="str">
        <f t="shared" si="125"/>
        <v>FF</v>
      </c>
      <c r="N193" s="23" t="str">
        <f t="shared" si="113"/>
        <v>ÿ</v>
      </c>
      <c r="O193" s="18" t="str">
        <f t="shared" si="114"/>
        <v>ÿ</v>
      </c>
      <c r="P193" s="18" t="str">
        <f t="shared" si="115"/>
        <v>ÿ</v>
      </c>
      <c r="Q193" s="65" t="str">
        <f t="shared" si="116"/>
        <v>ÿ</v>
      </c>
      <c r="R193" s="2" t="str">
        <f t="shared" si="73"/>
        <v>ÿÿÿÿ</v>
      </c>
    </row>
    <row r="194" spans="1:18" x14ac:dyDescent="0.25">
      <c r="A194" s="47"/>
      <c r="B194" s="56" t="str">
        <f>Sensor!C25</f>
        <v>DEFAULT_RESERVED_SENSOR</v>
      </c>
      <c r="C194" s="52" t="str">
        <f>Sensor!B25</f>
        <v>3FAFC</v>
      </c>
      <c r="D194" s="22">
        <f>Sensor!D25</f>
        <v>4294967295</v>
      </c>
      <c r="E194" s="25" t="str">
        <f t="shared" si="112"/>
        <v>FFFFFFFF</v>
      </c>
      <c r="F194" s="29">
        <f>IF(D194 &gt;= 0,TRUNC(D194/(2^24)),TRUNC((D194 + 2^32)/(2^24)))</f>
        <v>255</v>
      </c>
      <c r="G194" s="19">
        <f>IF(D194&gt;=0,TRUNC((D194-(F194*2^24))/(2^16)),TRUNC(((D194+2^32)-(F194*2^24))/(2^16)))</f>
        <v>255</v>
      </c>
      <c r="H194" s="19">
        <f>IF(D194&gt;=0,TRUNC((D194-((F194*2^24)+(G194*2^16)))/2^8),TRUNC(((D194 + 2^32)-((F194*2^24)+(G194*2^16)))/2^8))</f>
        <v>255</v>
      </c>
      <c r="I194" s="30">
        <f>IF(D194&gt;=0,TRUNC((D194-((F194*2^24)+(G194*2^16)+(H194*2^8)))),TRUNC(((D194+2^32)-((F194*2^24)+(G194*2^16)+(H194*2^8)))))</f>
        <v>255</v>
      </c>
      <c r="J194" s="29" t="str">
        <f t="shared" si="125"/>
        <v>FF</v>
      </c>
      <c r="K194" s="19" t="str">
        <f t="shared" si="125"/>
        <v>FF</v>
      </c>
      <c r="L194" s="19" t="str">
        <f t="shared" si="125"/>
        <v>FF</v>
      </c>
      <c r="M194" s="30" t="str">
        <f t="shared" si="125"/>
        <v>FF</v>
      </c>
      <c r="N194" s="22" t="str">
        <f t="shared" si="113"/>
        <v>ÿ</v>
      </c>
      <c r="O194" s="19" t="str">
        <f t="shared" si="114"/>
        <v>ÿ</v>
      </c>
      <c r="P194" s="19" t="str">
        <f t="shared" si="115"/>
        <v>ÿ</v>
      </c>
      <c r="Q194" s="61" t="str">
        <f t="shared" si="116"/>
        <v>ÿ</v>
      </c>
      <c r="R194" s="64" t="str">
        <f t="shared" si="73"/>
        <v>ÿÿÿÿ</v>
      </c>
    </row>
    <row r="195" spans="1:18" x14ac:dyDescent="0.25">
      <c r="A195" s="48"/>
      <c r="B195" s="55" t="str">
        <f>Sensor!C26</f>
        <v>DEFAULT_RESERVED_SENSOR</v>
      </c>
      <c r="C195" s="51" t="str">
        <f>Sensor!B26</f>
        <v>3FB00</v>
      </c>
      <c r="D195" s="23">
        <f>Sensor!D26</f>
        <v>4294967295</v>
      </c>
      <c r="E195" s="21" t="str">
        <f t="shared" si="112"/>
        <v>FFFFFFFF</v>
      </c>
      <c r="F195" s="31">
        <f>IF(D195 &gt;= 0,TRUNC(D195/(2^24)),TRUNC((D195 + 2^32)/(2^24)))</f>
        <v>255</v>
      </c>
      <c r="G195" s="18">
        <f>IF(D195&gt;=0,TRUNC((D195-(F195*2^24))/(2^16)),TRUNC(((D195+2^32)-(F195*2^24))/(2^16)))</f>
        <v>255</v>
      </c>
      <c r="H195" s="18">
        <f>IF(D195&gt;=0,TRUNC((D195-((F195*2^24)+(G195*2^16)))/2^8),TRUNC(((D195 + 2^32)-((F195*2^24)+(G195*2^16)))/2^8))</f>
        <v>255</v>
      </c>
      <c r="I195" s="32">
        <f>IF(D195&gt;=0,TRUNC((D195-((F195*2^24)+(G195*2^16)+(H195*2^8)))),TRUNC(((D195+2^32)-((F195*2^24)+(G195*2^16)+(H195*2^8)))))</f>
        <v>255</v>
      </c>
      <c r="J195" s="31" t="str">
        <f t="shared" si="125"/>
        <v>FF</v>
      </c>
      <c r="K195" s="18" t="str">
        <f t="shared" si="125"/>
        <v>FF</v>
      </c>
      <c r="L195" s="18" t="str">
        <f t="shared" si="125"/>
        <v>FF</v>
      </c>
      <c r="M195" s="32" t="str">
        <f t="shared" si="125"/>
        <v>FF</v>
      </c>
      <c r="N195" s="23" t="str">
        <f t="shared" si="113"/>
        <v>ÿ</v>
      </c>
      <c r="O195" s="18" t="str">
        <f t="shared" si="114"/>
        <v>ÿ</v>
      </c>
      <c r="P195" s="18" t="str">
        <f t="shared" si="115"/>
        <v>ÿ</v>
      </c>
      <c r="Q195" s="65" t="str">
        <f t="shared" si="116"/>
        <v>ÿ</v>
      </c>
      <c r="R195" s="2" t="str">
        <f t="shared" si="73"/>
        <v>ÿÿÿÿ</v>
      </c>
    </row>
    <row r="196" spans="1:18" x14ac:dyDescent="0.25">
      <c r="A196" s="47"/>
      <c r="B196" s="55" t="str">
        <f>Sensor!C27</f>
        <v>DEFAULT_RESERVED_SENSOR</v>
      </c>
      <c r="C196" s="51" t="str">
        <f>Sensor!B27</f>
        <v>3FB04</v>
      </c>
      <c r="D196" s="23">
        <f>Sensor!D27</f>
        <v>4294967295</v>
      </c>
      <c r="E196" s="21" t="str">
        <f t="shared" ref="E196:E222" si="126">IF(D196&gt;=0,DEC2HEX(D196),DEC2HEX(D196+ 2^32))</f>
        <v>FFFFFFFF</v>
      </c>
      <c r="F196" s="31">
        <f t="shared" ref="F196:F222" si="127">IF(D196 &gt;= 0,TRUNC(D196/(2^24)),TRUNC((D196 + 2^32)/(2^24)))</f>
        <v>255</v>
      </c>
      <c r="G196" s="18">
        <f t="shared" ref="G196:G222" si="128">IF(D196&gt;=0,TRUNC((D196-(F196*2^24))/(2^16)),TRUNC(((D196+2^32)-(F196*2^24))/(2^16)))</f>
        <v>255</v>
      </c>
      <c r="H196" s="18">
        <f t="shared" ref="H196:H222" si="129">IF(D196&gt;=0,TRUNC((D196-((F196*2^24)+(G196*2^16)))/2^8),TRUNC(((D196 + 2^32)-((F196*2^24)+(G196*2^16)))/2^8))</f>
        <v>255</v>
      </c>
      <c r="I196" s="32">
        <f t="shared" ref="I196:I222" si="130">IF(D196&gt;=0,TRUNC((D196-((F196*2^24)+(G196*2^16)+(H196*2^8)))),TRUNC(((D196+2^32)-((F196*2^24)+(G196*2^16)+(H196*2^8)))))</f>
        <v>255</v>
      </c>
      <c r="J196" s="31" t="str">
        <f t="shared" ref="J196:J222" si="131">DEC2HEX(F196)</f>
        <v>FF</v>
      </c>
      <c r="K196" s="18" t="str">
        <f t="shared" ref="K196:K222" si="132">DEC2HEX(G196)</f>
        <v>FF</v>
      </c>
      <c r="L196" s="18" t="str">
        <f t="shared" ref="L196:L222" si="133">DEC2HEX(H196)</f>
        <v>FF</v>
      </c>
      <c r="M196" s="32" t="str">
        <f t="shared" ref="M196:M222" si="134">DEC2HEX(I196)</f>
        <v>FF</v>
      </c>
      <c r="N196" s="23" t="str">
        <f t="shared" ref="N196:N222" si="135">IF(F196&lt;&gt;0,CHAR(F196),"")</f>
        <v>ÿ</v>
      </c>
      <c r="O196" s="18" t="str">
        <f t="shared" ref="O196:O222" si="136">IF(G196&lt;&gt;0,CHAR(G196),"")</f>
        <v>ÿ</v>
      </c>
      <c r="P196" s="18" t="str">
        <f t="shared" ref="P196:P222" si="137">IF(H196&lt;&gt;0,CHAR(H196),"")</f>
        <v>ÿ</v>
      </c>
      <c r="Q196" s="65" t="str">
        <f t="shared" ref="Q196:Q222" si="138">IF(I196&lt;&gt;0,CHAR(I196),"")</f>
        <v>ÿ</v>
      </c>
      <c r="R196" s="2" t="str">
        <f t="shared" ref="R196:R222" si="139">_xlfn.CONCAT(N196,O196,P196,Q196)</f>
        <v>ÿÿÿÿ</v>
      </c>
    </row>
    <row r="197" spans="1:18" x14ac:dyDescent="0.25">
      <c r="A197" s="48"/>
      <c r="B197" s="55" t="str">
        <f>Sensor!C28</f>
        <v>DEFAULT_RESERVED_SENSOR</v>
      </c>
      <c r="C197" s="51" t="str">
        <f>Sensor!B28</f>
        <v>3FB08</v>
      </c>
      <c r="D197" s="23">
        <f>Sensor!D28</f>
        <v>4294967295</v>
      </c>
      <c r="E197" s="21" t="str">
        <f t="shared" si="126"/>
        <v>FFFFFFFF</v>
      </c>
      <c r="F197" s="31">
        <f t="shared" si="127"/>
        <v>255</v>
      </c>
      <c r="G197" s="18">
        <f t="shared" si="128"/>
        <v>255</v>
      </c>
      <c r="H197" s="18">
        <f t="shared" si="129"/>
        <v>255</v>
      </c>
      <c r="I197" s="32">
        <f t="shared" si="130"/>
        <v>255</v>
      </c>
      <c r="J197" s="31" t="str">
        <f t="shared" si="131"/>
        <v>FF</v>
      </c>
      <c r="K197" s="18" t="str">
        <f t="shared" si="132"/>
        <v>FF</v>
      </c>
      <c r="L197" s="18" t="str">
        <f t="shared" si="133"/>
        <v>FF</v>
      </c>
      <c r="M197" s="32" t="str">
        <f t="shared" si="134"/>
        <v>FF</v>
      </c>
      <c r="N197" s="23" t="str">
        <f t="shared" si="135"/>
        <v>ÿ</v>
      </c>
      <c r="O197" s="18" t="str">
        <f t="shared" si="136"/>
        <v>ÿ</v>
      </c>
      <c r="P197" s="18" t="str">
        <f t="shared" si="137"/>
        <v>ÿ</v>
      </c>
      <c r="Q197" s="65" t="str">
        <f t="shared" si="138"/>
        <v>ÿ</v>
      </c>
      <c r="R197" s="2" t="str">
        <f t="shared" si="139"/>
        <v>ÿÿÿÿ</v>
      </c>
    </row>
    <row r="198" spans="1:18" x14ac:dyDescent="0.25">
      <c r="A198" s="47"/>
      <c r="B198" s="55" t="str">
        <f>Sensor!C29</f>
        <v>DEFAULT_RESERVED_SENSOR</v>
      </c>
      <c r="C198" s="51" t="str">
        <f>Sensor!B29</f>
        <v>3FB0C</v>
      </c>
      <c r="D198" s="23">
        <f>Sensor!D29</f>
        <v>4294967295</v>
      </c>
      <c r="E198" s="21" t="str">
        <f t="shared" si="126"/>
        <v>FFFFFFFF</v>
      </c>
      <c r="F198" s="31">
        <f t="shared" si="127"/>
        <v>255</v>
      </c>
      <c r="G198" s="18">
        <f t="shared" si="128"/>
        <v>255</v>
      </c>
      <c r="H198" s="18">
        <f t="shared" si="129"/>
        <v>255</v>
      </c>
      <c r="I198" s="32">
        <f t="shared" si="130"/>
        <v>255</v>
      </c>
      <c r="J198" s="31" t="str">
        <f t="shared" si="131"/>
        <v>FF</v>
      </c>
      <c r="K198" s="18" t="str">
        <f t="shared" si="132"/>
        <v>FF</v>
      </c>
      <c r="L198" s="18" t="str">
        <f t="shared" si="133"/>
        <v>FF</v>
      </c>
      <c r="M198" s="32" t="str">
        <f t="shared" si="134"/>
        <v>FF</v>
      </c>
      <c r="N198" s="23" t="str">
        <f t="shared" si="135"/>
        <v>ÿ</v>
      </c>
      <c r="O198" s="18" t="str">
        <f t="shared" si="136"/>
        <v>ÿ</v>
      </c>
      <c r="P198" s="18" t="str">
        <f t="shared" si="137"/>
        <v>ÿ</v>
      </c>
      <c r="Q198" s="65" t="str">
        <f t="shared" si="138"/>
        <v>ÿ</v>
      </c>
      <c r="R198" s="2" t="str">
        <f t="shared" si="139"/>
        <v>ÿÿÿÿ</v>
      </c>
    </row>
    <row r="199" spans="1:18" x14ac:dyDescent="0.25">
      <c r="A199" s="48"/>
      <c r="B199" s="55" t="str">
        <f>Sensor!C30</f>
        <v>DEFAULT_RESERVED_SENSOR</v>
      </c>
      <c r="C199" s="51" t="str">
        <f>Sensor!B30</f>
        <v>3FB10</v>
      </c>
      <c r="D199" s="23">
        <f>Sensor!D30</f>
        <v>4294967295</v>
      </c>
      <c r="E199" s="21" t="str">
        <f t="shared" si="126"/>
        <v>FFFFFFFF</v>
      </c>
      <c r="F199" s="31">
        <f t="shared" si="127"/>
        <v>255</v>
      </c>
      <c r="G199" s="18">
        <f t="shared" si="128"/>
        <v>255</v>
      </c>
      <c r="H199" s="18">
        <f t="shared" si="129"/>
        <v>255</v>
      </c>
      <c r="I199" s="32">
        <f t="shared" si="130"/>
        <v>255</v>
      </c>
      <c r="J199" s="31" t="str">
        <f t="shared" si="131"/>
        <v>FF</v>
      </c>
      <c r="K199" s="18" t="str">
        <f t="shared" si="132"/>
        <v>FF</v>
      </c>
      <c r="L199" s="18" t="str">
        <f t="shared" si="133"/>
        <v>FF</v>
      </c>
      <c r="M199" s="32" t="str">
        <f t="shared" si="134"/>
        <v>FF</v>
      </c>
      <c r="N199" s="23" t="str">
        <f t="shared" si="135"/>
        <v>ÿ</v>
      </c>
      <c r="O199" s="18" t="str">
        <f t="shared" si="136"/>
        <v>ÿ</v>
      </c>
      <c r="P199" s="18" t="str">
        <f t="shared" si="137"/>
        <v>ÿ</v>
      </c>
      <c r="Q199" s="65" t="str">
        <f t="shared" si="138"/>
        <v>ÿ</v>
      </c>
      <c r="R199" s="2" t="str">
        <f t="shared" si="139"/>
        <v>ÿÿÿÿ</v>
      </c>
    </row>
    <row r="200" spans="1:18" x14ac:dyDescent="0.25">
      <c r="A200" s="47"/>
      <c r="B200" s="55" t="str">
        <f>Sensor!C31</f>
        <v>DEFAULT_RESERVED_SENSOR</v>
      </c>
      <c r="C200" s="51" t="str">
        <f>Sensor!B31</f>
        <v>3FB14</v>
      </c>
      <c r="D200" s="23">
        <f>Sensor!D31</f>
        <v>4294967295</v>
      </c>
      <c r="E200" s="21" t="str">
        <f t="shared" si="126"/>
        <v>FFFFFFFF</v>
      </c>
      <c r="F200" s="31">
        <f t="shared" si="127"/>
        <v>255</v>
      </c>
      <c r="G200" s="18">
        <f t="shared" si="128"/>
        <v>255</v>
      </c>
      <c r="H200" s="18">
        <f t="shared" si="129"/>
        <v>255</v>
      </c>
      <c r="I200" s="32">
        <f t="shared" si="130"/>
        <v>255</v>
      </c>
      <c r="J200" s="31" t="str">
        <f t="shared" si="131"/>
        <v>FF</v>
      </c>
      <c r="K200" s="18" t="str">
        <f t="shared" si="132"/>
        <v>FF</v>
      </c>
      <c r="L200" s="18" t="str">
        <f t="shared" si="133"/>
        <v>FF</v>
      </c>
      <c r="M200" s="32" t="str">
        <f t="shared" si="134"/>
        <v>FF</v>
      </c>
      <c r="N200" s="23" t="str">
        <f t="shared" si="135"/>
        <v>ÿ</v>
      </c>
      <c r="O200" s="18" t="str">
        <f t="shared" si="136"/>
        <v>ÿ</v>
      </c>
      <c r="P200" s="18" t="str">
        <f t="shared" si="137"/>
        <v>ÿ</v>
      </c>
      <c r="Q200" s="65" t="str">
        <f t="shared" si="138"/>
        <v>ÿ</v>
      </c>
      <c r="R200" s="2" t="str">
        <f t="shared" si="139"/>
        <v>ÿÿÿÿ</v>
      </c>
    </row>
    <row r="201" spans="1:18" x14ac:dyDescent="0.25">
      <c r="A201" s="48"/>
      <c r="B201" s="55" t="str">
        <f>Sensor!C32</f>
        <v>DEFAULT_RESERVED_SENSOR</v>
      </c>
      <c r="C201" s="51" t="str">
        <f>Sensor!B32</f>
        <v>3FB18</v>
      </c>
      <c r="D201" s="23">
        <f>Sensor!D32</f>
        <v>4294967295</v>
      </c>
      <c r="E201" s="21" t="str">
        <f t="shared" si="126"/>
        <v>FFFFFFFF</v>
      </c>
      <c r="F201" s="31">
        <f t="shared" si="127"/>
        <v>255</v>
      </c>
      <c r="G201" s="18">
        <f t="shared" si="128"/>
        <v>255</v>
      </c>
      <c r="H201" s="18">
        <f t="shared" si="129"/>
        <v>255</v>
      </c>
      <c r="I201" s="32">
        <f t="shared" si="130"/>
        <v>255</v>
      </c>
      <c r="J201" s="31" t="str">
        <f t="shared" si="131"/>
        <v>FF</v>
      </c>
      <c r="K201" s="18" t="str">
        <f t="shared" si="132"/>
        <v>FF</v>
      </c>
      <c r="L201" s="18" t="str">
        <f t="shared" si="133"/>
        <v>FF</v>
      </c>
      <c r="M201" s="32" t="str">
        <f t="shared" si="134"/>
        <v>FF</v>
      </c>
      <c r="N201" s="23" t="str">
        <f t="shared" si="135"/>
        <v>ÿ</v>
      </c>
      <c r="O201" s="18" t="str">
        <f t="shared" si="136"/>
        <v>ÿ</v>
      </c>
      <c r="P201" s="18" t="str">
        <f t="shared" si="137"/>
        <v>ÿ</v>
      </c>
      <c r="Q201" s="65" t="str">
        <f t="shared" si="138"/>
        <v>ÿ</v>
      </c>
      <c r="R201" s="2" t="str">
        <f t="shared" si="139"/>
        <v>ÿÿÿÿ</v>
      </c>
    </row>
    <row r="202" spans="1:18" x14ac:dyDescent="0.25">
      <c r="A202" s="47"/>
      <c r="B202" s="55" t="str">
        <f>Sensor!C33</f>
        <v>DEFAULT_RESERVED_SENSOR</v>
      </c>
      <c r="C202" s="51" t="str">
        <f>Sensor!B33</f>
        <v>3FB1C</v>
      </c>
      <c r="D202" s="23">
        <f>Sensor!D33</f>
        <v>4294967295</v>
      </c>
      <c r="E202" s="21" t="str">
        <f t="shared" si="126"/>
        <v>FFFFFFFF</v>
      </c>
      <c r="F202" s="31">
        <f t="shared" si="127"/>
        <v>255</v>
      </c>
      <c r="G202" s="18">
        <f t="shared" si="128"/>
        <v>255</v>
      </c>
      <c r="H202" s="18">
        <f t="shared" si="129"/>
        <v>255</v>
      </c>
      <c r="I202" s="32">
        <f t="shared" si="130"/>
        <v>255</v>
      </c>
      <c r="J202" s="31" t="str">
        <f t="shared" si="131"/>
        <v>FF</v>
      </c>
      <c r="K202" s="18" t="str">
        <f t="shared" si="132"/>
        <v>FF</v>
      </c>
      <c r="L202" s="18" t="str">
        <f t="shared" si="133"/>
        <v>FF</v>
      </c>
      <c r="M202" s="32" t="str">
        <f t="shared" si="134"/>
        <v>FF</v>
      </c>
      <c r="N202" s="23" t="str">
        <f t="shared" si="135"/>
        <v>ÿ</v>
      </c>
      <c r="O202" s="18" t="str">
        <f t="shared" si="136"/>
        <v>ÿ</v>
      </c>
      <c r="P202" s="18" t="str">
        <f t="shared" si="137"/>
        <v>ÿ</v>
      </c>
      <c r="Q202" s="65" t="str">
        <f t="shared" si="138"/>
        <v>ÿ</v>
      </c>
      <c r="R202" s="2" t="str">
        <f t="shared" si="139"/>
        <v>ÿÿÿÿ</v>
      </c>
    </row>
    <row r="203" spans="1:18" x14ac:dyDescent="0.25">
      <c r="A203" s="48"/>
      <c r="B203" s="55" t="str">
        <f>Sensor!C34</f>
        <v>DEFAULT_RESERVED_SENSOR</v>
      </c>
      <c r="C203" s="51" t="str">
        <f>Sensor!B34</f>
        <v>3FB20</v>
      </c>
      <c r="D203" s="23">
        <f>Sensor!D34</f>
        <v>4294967295</v>
      </c>
      <c r="E203" s="21" t="str">
        <f t="shared" si="126"/>
        <v>FFFFFFFF</v>
      </c>
      <c r="F203" s="31">
        <f t="shared" si="127"/>
        <v>255</v>
      </c>
      <c r="G203" s="18">
        <f t="shared" si="128"/>
        <v>255</v>
      </c>
      <c r="H203" s="18">
        <f t="shared" si="129"/>
        <v>255</v>
      </c>
      <c r="I203" s="32">
        <f t="shared" si="130"/>
        <v>255</v>
      </c>
      <c r="J203" s="31" t="str">
        <f t="shared" si="131"/>
        <v>FF</v>
      </c>
      <c r="K203" s="18" t="str">
        <f t="shared" si="132"/>
        <v>FF</v>
      </c>
      <c r="L203" s="18" t="str">
        <f t="shared" si="133"/>
        <v>FF</v>
      </c>
      <c r="M203" s="32" t="str">
        <f t="shared" si="134"/>
        <v>FF</v>
      </c>
      <c r="N203" s="23" t="str">
        <f t="shared" si="135"/>
        <v>ÿ</v>
      </c>
      <c r="O203" s="18" t="str">
        <f t="shared" si="136"/>
        <v>ÿ</v>
      </c>
      <c r="P203" s="18" t="str">
        <f t="shared" si="137"/>
        <v>ÿ</v>
      </c>
      <c r="Q203" s="65" t="str">
        <f t="shared" si="138"/>
        <v>ÿ</v>
      </c>
      <c r="R203" s="2" t="str">
        <f t="shared" si="139"/>
        <v>ÿÿÿÿ</v>
      </c>
    </row>
    <row r="204" spans="1:18" x14ac:dyDescent="0.25">
      <c r="A204" s="47"/>
      <c r="B204" s="55" t="str">
        <f>Sensor!C35</f>
        <v>DEFAULT_RESERVED_SENSOR</v>
      </c>
      <c r="C204" s="51" t="str">
        <f>Sensor!B35</f>
        <v>3FB24</v>
      </c>
      <c r="D204" s="23">
        <f>Sensor!D35</f>
        <v>4294967295</v>
      </c>
      <c r="E204" s="21" t="str">
        <f t="shared" si="126"/>
        <v>FFFFFFFF</v>
      </c>
      <c r="F204" s="31">
        <f t="shared" si="127"/>
        <v>255</v>
      </c>
      <c r="G204" s="18">
        <f t="shared" si="128"/>
        <v>255</v>
      </c>
      <c r="H204" s="18">
        <f t="shared" si="129"/>
        <v>255</v>
      </c>
      <c r="I204" s="32">
        <f t="shared" si="130"/>
        <v>255</v>
      </c>
      <c r="J204" s="31" t="str">
        <f t="shared" si="131"/>
        <v>FF</v>
      </c>
      <c r="K204" s="18" t="str">
        <f t="shared" si="132"/>
        <v>FF</v>
      </c>
      <c r="L204" s="18" t="str">
        <f t="shared" si="133"/>
        <v>FF</v>
      </c>
      <c r="M204" s="32" t="str">
        <f t="shared" si="134"/>
        <v>FF</v>
      </c>
      <c r="N204" s="23" t="str">
        <f t="shared" si="135"/>
        <v>ÿ</v>
      </c>
      <c r="O204" s="18" t="str">
        <f t="shared" si="136"/>
        <v>ÿ</v>
      </c>
      <c r="P204" s="18" t="str">
        <f t="shared" si="137"/>
        <v>ÿ</v>
      </c>
      <c r="Q204" s="65" t="str">
        <f t="shared" si="138"/>
        <v>ÿ</v>
      </c>
      <c r="R204" s="2" t="str">
        <f t="shared" si="139"/>
        <v>ÿÿÿÿ</v>
      </c>
    </row>
    <row r="205" spans="1:18" x14ac:dyDescent="0.25">
      <c r="A205" s="48"/>
      <c r="B205" s="55" t="str">
        <f>Sensor!C36</f>
        <v>DEFAULT_RESERVED_SENSOR</v>
      </c>
      <c r="C205" s="51" t="str">
        <f>Sensor!B36</f>
        <v>3FB28</v>
      </c>
      <c r="D205" s="23">
        <f>Sensor!D36</f>
        <v>4294967295</v>
      </c>
      <c r="E205" s="21" t="str">
        <f t="shared" si="126"/>
        <v>FFFFFFFF</v>
      </c>
      <c r="F205" s="31">
        <f t="shared" si="127"/>
        <v>255</v>
      </c>
      <c r="G205" s="18">
        <f t="shared" si="128"/>
        <v>255</v>
      </c>
      <c r="H205" s="18">
        <f t="shared" si="129"/>
        <v>255</v>
      </c>
      <c r="I205" s="32">
        <f t="shared" si="130"/>
        <v>255</v>
      </c>
      <c r="J205" s="31" t="str">
        <f t="shared" si="131"/>
        <v>FF</v>
      </c>
      <c r="K205" s="18" t="str">
        <f t="shared" si="132"/>
        <v>FF</v>
      </c>
      <c r="L205" s="18" t="str">
        <f t="shared" si="133"/>
        <v>FF</v>
      </c>
      <c r="M205" s="32" t="str">
        <f t="shared" si="134"/>
        <v>FF</v>
      </c>
      <c r="N205" s="23" t="str">
        <f t="shared" si="135"/>
        <v>ÿ</v>
      </c>
      <c r="O205" s="18" t="str">
        <f t="shared" si="136"/>
        <v>ÿ</v>
      </c>
      <c r="P205" s="18" t="str">
        <f t="shared" si="137"/>
        <v>ÿ</v>
      </c>
      <c r="Q205" s="65" t="str">
        <f t="shared" si="138"/>
        <v>ÿ</v>
      </c>
      <c r="R205" s="2" t="str">
        <f t="shared" si="139"/>
        <v>ÿÿÿÿ</v>
      </c>
    </row>
    <row r="206" spans="1:18" x14ac:dyDescent="0.25">
      <c r="A206" s="47"/>
      <c r="B206" s="55" t="str">
        <f>Sensor!C37</f>
        <v>DEFAULT_RESERVED_SENSOR</v>
      </c>
      <c r="C206" s="51" t="str">
        <f>Sensor!B37</f>
        <v>3FB2C</v>
      </c>
      <c r="D206" s="23">
        <f>Sensor!D37</f>
        <v>4294967295</v>
      </c>
      <c r="E206" s="21" t="str">
        <f t="shared" si="126"/>
        <v>FFFFFFFF</v>
      </c>
      <c r="F206" s="31">
        <f t="shared" si="127"/>
        <v>255</v>
      </c>
      <c r="G206" s="18">
        <f t="shared" si="128"/>
        <v>255</v>
      </c>
      <c r="H206" s="18">
        <f t="shared" si="129"/>
        <v>255</v>
      </c>
      <c r="I206" s="32">
        <f t="shared" si="130"/>
        <v>255</v>
      </c>
      <c r="J206" s="31" t="str">
        <f t="shared" si="131"/>
        <v>FF</v>
      </c>
      <c r="K206" s="18" t="str">
        <f t="shared" si="132"/>
        <v>FF</v>
      </c>
      <c r="L206" s="18" t="str">
        <f t="shared" si="133"/>
        <v>FF</v>
      </c>
      <c r="M206" s="32" t="str">
        <f t="shared" si="134"/>
        <v>FF</v>
      </c>
      <c r="N206" s="23" t="str">
        <f t="shared" si="135"/>
        <v>ÿ</v>
      </c>
      <c r="O206" s="18" t="str">
        <f t="shared" si="136"/>
        <v>ÿ</v>
      </c>
      <c r="P206" s="18" t="str">
        <f t="shared" si="137"/>
        <v>ÿ</v>
      </c>
      <c r="Q206" s="65" t="str">
        <f t="shared" si="138"/>
        <v>ÿ</v>
      </c>
      <c r="R206" s="2" t="str">
        <f t="shared" si="139"/>
        <v>ÿÿÿÿ</v>
      </c>
    </row>
    <row r="207" spans="1:18" x14ac:dyDescent="0.25">
      <c r="A207" s="48"/>
      <c r="B207" s="55" t="str">
        <f>Sensor!C38</f>
        <v>DEFAULT_RESERVED_SENSOR</v>
      </c>
      <c r="C207" s="51" t="str">
        <f>Sensor!B38</f>
        <v>3FB30</v>
      </c>
      <c r="D207" s="23">
        <f>Sensor!D38</f>
        <v>4294967295</v>
      </c>
      <c r="E207" s="21" t="str">
        <f t="shared" si="126"/>
        <v>FFFFFFFF</v>
      </c>
      <c r="F207" s="31">
        <f t="shared" si="127"/>
        <v>255</v>
      </c>
      <c r="G207" s="18">
        <f t="shared" si="128"/>
        <v>255</v>
      </c>
      <c r="H207" s="18">
        <f t="shared" si="129"/>
        <v>255</v>
      </c>
      <c r="I207" s="32">
        <f t="shared" si="130"/>
        <v>255</v>
      </c>
      <c r="J207" s="31" t="str">
        <f t="shared" si="131"/>
        <v>FF</v>
      </c>
      <c r="K207" s="18" t="str">
        <f t="shared" si="132"/>
        <v>FF</v>
      </c>
      <c r="L207" s="18" t="str">
        <f t="shared" si="133"/>
        <v>FF</v>
      </c>
      <c r="M207" s="32" t="str">
        <f t="shared" si="134"/>
        <v>FF</v>
      </c>
      <c r="N207" s="23" t="str">
        <f t="shared" si="135"/>
        <v>ÿ</v>
      </c>
      <c r="O207" s="18" t="str">
        <f t="shared" si="136"/>
        <v>ÿ</v>
      </c>
      <c r="P207" s="18" t="str">
        <f t="shared" si="137"/>
        <v>ÿ</v>
      </c>
      <c r="Q207" s="65" t="str">
        <f t="shared" si="138"/>
        <v>ÿ</v>
      </c>
      <c r="R207" s="2" t="str">
        <f t="shared" si="139"/>
        <v>ÿÿÿÿ</v>
      </c>
    </row>
    <row r="208" spans="1:18" x14ac:dyDescent="0.25">
      <c r="A208" s="47"/>
      <c r="B208" s="55" t="str">
        <f>Sensor!C39</f>
        <v>DEFAULT_RESERVED_SENSOR</v>
      </c>
      <c r="C208" s="51" t="str">
        <f>Sensor!B39</f>
        <v>3FB34</v>
      </c>
      <c r="D208" s="23">
        <f>Sensor!D39</f>
        <v>4294967295</v>
      </c>
      <c r="E208" s="21" t="str">
        <f t="shared" si="126"/>
        <v>FFFFFFFF</v>
      </c>
      <c r="F208" s="31">
        <f t="shared" si="127"/>
        <v>255</v>
      </c>
      <c r="G208" s="18">
        <f t="shared" si="128"/>
        <v>255</v>
      </c>
      <c r="H208" s="18">
        <f t="shared" si="129"/>
        <v>255</v>
      </c>
      <c r="I208" s="32">
        <f t="shared" si="130"/>
        <v>255</v>
      </c>
      <c r="J208" s="31" t="str">
        <f t="shared" si="131"/>
        <v>FF</v>
      </c>
      <c r="K208" s="18" t="str">
        <f t="shared" si="132"/>
        <v>FF</v>
      </c>
      <c r="L208" s="18" t="str">
        <f t="shared" si="133"/>
        <v>FF</v>
      </c>
      <c r="M208" s="32" t="str">
        <f t="shared" si="134"/>
        <v>FF</v>
      </c>
      <c r="N208" s="23" t="str">
        <f t="shared" si="135"/>
        <v>ÿ</v>
      </c>
      <c r="O208" s="18" t="str">
        <f t="shared" si="136"/>
        <v>ÿ</v>
      </c>
      <c r="P208" s="18" t="str">
        <f t="shared" si="137"/>
        <v>ÿ</v>
      </c>
      <c r="Q208" s="65" t="str">
        <f t="shared" si="138"/>
        <v>ÿ</v>
      </c>
      <c r="R208" s="2" t="str">
        <f t="shared" si="139"/>
        <v>ÿÿÿÿ</v>
      </c>
    </row>
    <row r="209" spans="1:18" x14ac:dyDescent="0.25">
      <c r="A209" s="48"/>
      <c r="B209" s="55" t="str">
        <f>Sensor!C40</f>
        <v>DEFAULT_RESERVED_SENSOR</v>
      </c>
      <c r="C209" s="51" t="str">
        <f>Sensor!B40</f>
        <v>3FB38</v>
      </c>
      <c r="D209" s="23">
        <f>Sensor!D40</f>
        <v>4294967295</v>
      </c>
      <c r="E209" s="21" t="str">
        <f t="shared" si="126"/>
        <v>FFFFFFFF</v>
      </c>
      <c r="F209" s="31">
        <f t="shared" si="127"/>
        <v>255</v>
      </c>
      <c r="G209" s="18">
        <f t="shared" si="128"/>
        <v>255</v>
      </c>
      <c r="H209" s="18">
        <f t="shared" si="129"/>
        <v>255</v>
      </c>
      <c r="I209" s="32">
        <f t="shared" si="130"/>
        <v>255</v>
      </c>
      <c r="J209" s="31" t="str">
        <f t="shared" si="131"/>
        <v>FF</v>
      </c>
      <c r="K209" s="18" t="str">
        <f t="shared" si="132"/>
        <v>FF</v>
      </c>
      <c r="L209" s="18" t="str">
        <f t="shared" si="133"/>
        <v>FF</v>
      </c>
      <c r="M209" s="32" t="str">
        <f t="shared" si="134"/>
        <v>FF</v>
      </c>
      <c r="N209" s="23" t="str">
        <f t="shared" si="135"/>
        <v>ÿ</v>
      </c>
      <c r="O209" s="18" t="str">
        <f t="shared" si="136"/>
        <v>ÿ</v>
      </c>
      <c r="P209" s="18" t="str">
        <f t="shared" si="137"/>
        <v>ÿ</v>
      </c>
      <c r="Q209" s="65" t="str">
        <f t="shared" si="138"/>
        <v>ÿ</v>
      </c>
      <c r="R209" s="2" t="str">
        <f t="shared" si="139"/>
        <v>ÿÿÿÿ</v>
      </c>
    </row>
    <row r="210" spans="1:18" x14ac:dyDescent="0.25">
      <c r="A210" s="47"/>
      <c r="B210" s="55" t="str">
        <f>Sensor!C41</f>
        <v>DEFAULT_RESERVED_SENSOR</v>
      </c>
      <c r="C210" s="51" t="str">
        <f>Sensor!B41</f>
        <v>3FB3C</v>
      </c>
      <c r="D210" s="23">
        <f>Sensor!D41</f>
        <v>4294967295</v>
      </c>
      <c r="E210" s="21" t="str">
        <f t="shared" si="126"/>
        <v>FFFFFFFF</v>
      </c>
      <c r="F210" s="31">
        <f t="shared" si="127"/>
        <v>255</v>
      </c>
      <c r="G210" s="18">
        <f t="shared" si="128"/>
        <v>255</v>
      </c>
      <c r="H210" s="18">
        <f t="shared" si="129"/>
        <v>255</v>
      </c>
      <c r="I210" s="32">
        <f t="shared" si="130"/>
        <v>255</v>
      </c>
      <c r="J210" s="31" t="str">
        <f t="shared" si="131"/>
        <v>FF</v>
      </c>
      <c r="K210" s="18" t="str">
        <f t="shared" si="132"/>
        <v>FF</v>
      </c>
      <c r="L210" s="18" t="str">
        <f t="shared" si="133"/>
        <v>FF</v>
      </c>
      <c r="M210" s="32" t="str">
        <f t="shared" si="134"/>
        <v>FF</v>
      </c>
      <c r="N210" s="23" t="str">
        <f t="shared" si="135"/>
        <v>ÿ</v>
      </c>
      <c r="O210" s="18" t="str">
        <f t="shared" si="136"/>
        <v>ÿ</v>
      </c>
      <c r="P210" s="18" t="str">
        <f t="shared" si="137"/>
        <v>ÿ</v>
      </c>
      <c r="Q210" s="65" t="str">
        <f t="shared" si="138"/>
        <v>ÿ</v>
      </c>
      <c r="R210" s="2" t="str">
        <f t="shared" si="139"/>
        <v>ÿÿÿÿ</v>
      </c>
    </row>
    <row r="211" spans="1:18" x14ac:dyDescent="0.25">
      <c r="A211" s="48"/>
      <c r="B211" s="55" t="str">
        <f>Sensor!C42</f>
        <v>DEFAULT_RESERVED_SENSOR</v>
      </c>
      <c r="C211" s="51" t="str">
        <f>Sensor!B42</f>
        <v>3FB40</v>
      </c>
      <c r="D211" s="23">
        <f>Sensor!D42</f>
        <v>4294967295</v>
      </c>
      <c r="E211" s="21" t="str">
        <f t="shared" si="126"/>
        <v>FFFFFFFF</v>
      </c>
      <c r="F211" s="31">
        <f t="shared" si="127"/>
        <v>255</v>
      </c>
      <c r="G211" s="18">
        <f t="shared" si="128"/>
        <v>255</v>
      </c>
      <c r="H211" s="18">
        <f t="shared" si="129"/>
        <v>255</v>
      </c>
      <c r="I211" s="32">
        <f t="shared" si="130"/>
        <v>255</v>
      </c>
      <c r="J211" s="31" t="str">
        <f t="shared" si="131"/>
        <v>FF</v>
      </c>
      <c r="K211" s="18" t="str">
        <f t="shared" si="132"/>
        <v>FF</v>
      </c>
      <c r="L211" s="18" t="str">
        <f t="shared" si="133"/>
        <v>FF</v>
      </c>
      <c r="M211" s="32" t="str">
        <f t="shared" si="134"/>
        <v>FF</v>
      </c>
      <c r="N211" s="23" t="str">
        <f t="shared" si="135"/>
        <v>ÿ</v>
      </c>
      <c r="O211" s="18" t="str">
        <f t="shared" si="136"/>
        <v>ÿ</v>
      </c>
      <c r="P211" s="18" t="str">
        <f t="shared" si="137"/>
        <v>ÿ</v>
      </c>
      <c r="Q211" s="65" t="str">
        <f t="shared" si="138"/>
        <v>ÿ</v>
      </c>
      <c r="R211" s="2" t="str">
        <f t="shared" si="139"/>
        <v>ÿÿÿÿ</v>
      </c>
    </row>
    <row r="212" spans="1:18" x14ac:dyDescent="0.25">
      <c r="A212" s="47"/>
      <c r="B212" s="55" t="str">
        <f>Sensor!C43</f>
        <v>DEFAULT_RESERVED_SENSOR</v>
      </c>
      <c r="C212" s="51" t="str">
        <f>Sensor!B43</f>
        <v>3FB44</v>
      </c>
      <c r="D212" s="23">
        <f>Sensor!D43</f>
        <v>4294967295</v>
      </c>
      <c r="E212" s="21" t="str">
        <f t="shared" si="126"/>
        <v>FFFFFFFF</v>
      </c>
      <c r="F212" s="31">
        <f t="shared" si="127"/>
        <v>255</v>
      </c>
      <c r="G212" s="18">
        <f t="shared" si="128"/>
        <v>255</v>
      </c>
      <c r="H212" s="18">
        <f t="shared" si="129"/>
        <v>255</v>
      </c>
      <c r="I212" s="32">
        <f t="shared" si="130"/>
        <v>255</v>
      </c>
      <c r="J212" s="31" t="str">
        <f t="shared" si="131"/>
        <v>FF</v>
      </c>
      <c r="K212" s="18" t="str">
        <f t="shared" si="132"/>
        <v>FF</v>
      </c>
      <c r="L212" s="18" t="str">
        <f t="shared" si="133"/>
        <v>FF</v>
      </c>
      <c r="M212" s="32" t="str">
        <f t="shared" si="134"/>
        <v>FF</v>
      </c>
      <c r="N212" s="23" t="str">
        <f t="shared" si="135"/>
        <v>ÿ</v>
      </c>
      <c r="O212" s="18" t="str">
        <f t="shared" si="136"/>
        <v>ÿ</v>
      </c>
      <c r="P212" s="18" t="str">
        <f t="shared" si="137"/>
        <v>ÿ</v>
      </c>
      <c r="Q212" s="65" t="str">
        <f t="shared" si="138"/>
        <v>ÿ</v>
      </c>
      <c r="R212" s="2" t="str">
        <f t="shared" si="139"/>
        <v>ÿÿÿÿ</v>
      </c>
    </row>
    <row r="213" spans="1:18" x14ac:dyDescent="0.25">
      <c r="A213" s="48"/>
      <c r="B213" s="55" t="str">
        <f>Sensor!C44</f>
        <v>DEFAULT_RESERVED_SENSOR</v>
      </c>
      <c r="C213" s="51" t="str">
        <f>Sensor!B44</f>
        <v>3FB48</v>
      </c>
      <c r="D213" s="23">
        <f>Sensor!D44</f>
        <v>4294967295</v>
      </c>
      <c r="E213" s="21" t="str">
        <f t="shared" si="126"/>
        <v>FFFFFFFF</v>
      </c>
      <c r="F213" s="31">
        <f t="shared" si="127"/>
        <v>255</v>
      </c>
      <c r="G213" s="18">
        <f t="shared" si="128"/>
        <v>255</v>
      </c>
      <c r="H213" s="18">
        <f t="shared" si="129"/>
        <v>255</v>
      </c>
      <c r="I213" s="32">
        <f t="shared" si="130"/>
        <v>255</v>
      </c>
      <c r="J213" s="31" t="str">
        <f t="shared" si="131"/>
        <v>FF</v>
      </c>
      <c r="K213" s="18" t="str">
        <f t="shared" si="132"/>
        <v>FF</v>
      </c>
      <c r="L213" s="18" t="str">
        <f t="shared" si="133"/>
        <v>FF</v>
      </c>
      <c r="M213" s="32" t="str">
        <f t="shared" si="134"/>
        <v>FF</v>
      </c>
      <c r="N213" s="23" t="str">
        <f t="shared" si="135"/>
        <v>ÿ</v>
      </c>
      <c r="O213" s="18" t="str">
        <f t="shared" si="136"/>
        <v>ÿ</v>
      </c>
      <c r="P213" s="18" t="str">
        <f t="shared" si="137"/>
        <v>ÿ</v>
      </c>
      <c r="Q213" s="65" t="str">
        <f t="shared" si="138"/>
        <v>ÿ</v>
      </c>
      <c r="R213" s="2" t="str">
        <f t="shared" si="139"/>
        <v>ÿÿÿÿ</v>
      </c>
    </row>
    <row r="214" spans="1:18" x14ac:dyDescent="0.25">
      <c r="A214" s="47"/>
      <c r="B214" s="55" t="str">
        <f>Sensor!C45</f>
        <v>DEFAULT_RESERVED_SENSOR</v>
      </c>
      <c r="C214" s="51" t="str">
        <f>Sensor!B45</f>
        <v>3FB4C</v>
      </c>
      <c r="D214" s="23">
        <f>Sensor!D45</f>
        <v>4294967295</v>
      </c>
      <c r="E214" s="21" t="str">
        <f t="shared" si="126"/>
        <v>FFFFFFFF</v>
      </c>
      <c r="F214" s="31">
        <f t="shared" si="127"/>
        <v>255</v>
      </c>
      <c r="G214" s="18">
        <f t="shared" si="128"/>
        <v>255</v>
      </c>
      <c r="H214" s="18">
        <f t="shared" si="129"/>
        <v>255</v>
      </c>
      <c r="I214" s="32">
        <f t="shared" si="130"/>
        <v>255</v>
      </c>
      <c r="J214" s="31" t="str">
        <f t="shared" si="131"/>
        <v>FF</v>
      </c>
      <c r="K214" s="18" t="str">
        <f t="shared" si="132"/>
        <v>FF</v>
      </c>
      <c r="L214" s="18" t="str">
        <f t="shared" si="133"/>
        <v>FF</v>
      </c>
      <c r="M214" s="32" t="str">
        <f t="shared" si="134"/>
        <v>FF</v>
      </c>
      <c r="N214" s="23" t="str">
        <f t="shared" si="135"/>
        <v>ÿ</v>
      </c>
      <c r="O214" s="18" t="str">
        <f t="shared" si="136"/>
        <v>ÿ</v>
      </c>
      <c r="P214" s="18" t="str">
        <f t="shared" si="137"/>
        <v>ÿ</v>
      </c>
      <c r="Q214" s="65" t="str">
        <f t="shared" si="138"/>
        <v>ÿ</v>
      </c>
      <c r="R214" s="2" t="str">
        <f t="shared" si="139"/>
        <v>ÿÿÿÿ</v>
      </c>
    </row>
    <row r="215" spans="1:18" x14ac:dyDescent="0.25">
      <c r="A215" s="48"/>
      <c r="B215" s="55" t="str">
        <f>Sensor!C46</f>
        <v>DEFAULT_RESERVED_SENSOR</v>
      </c>
      <c r="C215" s="51" t="str">
        <f>Sensor!B46</f>
        <v>3FB50</v>
      </c>
      <c r="D215" s="23">
        <f>Sensor!D46</f>
        <v>4294967295</v>
      </c>
      <c r="E215" s="21" t="str">
        <f t="shared" si="126"/>
        <v>FFFFFFFF</v>
      </c>
      <c r="F215" s="31">
        <f t="shared" si="127"/>
        <v>255</v>
      </c>
      <c r="G215" s="18">
        <f t="shared" si="128"/>
        <v>255</v>
      </c>
      <c r="H215" s="18">
        <f t="shared" si="129"/>
        <v>255</v>
      </c>
      <c r="I215" s="32">
        <f t="shared" si="130"/>
        <v>255</v>
      </c>
      <c r="J215" s="31" t="str">
        <f t="shared" si="131"/>
        <v>FF</v>
      </c>
      <c r="K215" s="18" t="str">
        <f t="shared" si="132"/>
        <v>FF</v>
      </c>
      <c r="L215" s="18" t="str">
        <f t="shared" si="133"/>
        <v>FF</v>
      </c>
      <c r="M215" s="32" t="str">
        <f t="shared" si="134"/>
        <v>FF</v>
      </c>
      <c r="N215" s="23" t="str">
        <f t="shared" si="135"/>
        <v>ÿ</v>
      </c>
      <c r="O215" s="18" t="str">
        <f t="shared" si="136"/>
        <v>ÿ</v>
      </c>
      <c r="P215" s="18" t="str">
        <f t="shared" si="137"/>
        <v>ÿ</v>
      </c>
      <c r="Q215" s="65" t="str">
        <f t="shared" si="138"/>
        <v>ÿ</v>
      </c>
      <c r="R215" s="2" t="str">
        <f t="shared" si="139"/>
        <v>ÿÿÿÿ</v>
      </c>
    </row>
    <row r="216" spans="1:18" x14ac:dyDescent="0.25">
      <c r="A216" s="47"/>
      <c r="B216" s="55" t="str">
        <f>Sensor!C47</f>
        <v>DEFAULT_RESERVED_SENSOR</v>
      </c>
      <c r="C216" s="51" t="str">
        <f>Sensor!B47</f>
        <v>3FB54</v>
      </c>
      <c r="D216" s="23">
        <f>Sensor!D47</f>
        <v>4294967295</v>
      </c>
      <c r="E216" s="21" t="str">
        <f t="shared" si="126"/>
        <v>FFFFFFFF</v>
      </c>
      <c r="F216" s="31">
        <f t="shared" si="127"/>
        <v>255</v>
      </c>
      <c r="G216" s="18">
        <f t="shared" si="128"/>
        <v>255</v>
      </c>
      <c r="H216" s="18">
        <f t="shared" si="129"/>
        <v>255</v>
      </c>
      <c r="I216" s="32">
        <f t="shared" si="130"/>
        <v>255</v>
      </c>
      <c r="J216" s="31" t="str">
        <f t="shared" si="131"/>
        <v>FF</v>
      </c>
      <c r="K216" s="18" t="str">
        <f t="shared" si="132"/>
        <v>FF</v>
      </c>
      <c r="L216" s="18" t="str">
        <f t="shared" si="133"/>
        <v>FF</v>
      </c>
      <c r="M216" s="32" t="str">
        <f t="shared" si="134"/>
        <v>FF</v>
      </c>
      <c r="N216" s="23" t="str">
        <f t="shared" si="135"/>
        <v>ÿ</v>
      </c>
      <c r="O216" s="18" t="str">
        <f t="shared" si="136"/>
        <v>ÿ</v>
      </c>
      <c r="P216" s="18" t="str">
        <f t="shared" si="137"/>
        <v>ÿ</v>
      </c>
      <c r="Q216" s="65" t="str">
        <f t="shared" si="138"/>
        <v>ÿ</v>
      </c>
      <c r="R216" s="2" t="str">
        <f t="shared" si="139"/>
        <v>ÿÿÿÿ</v>
      </c>
    </row>
    <row r="217" spans="1:18" x14ac:dyDescent="0.25">
      <c r="A217" s="48"/>
      <c r="B217" s="55" t="str">
        <f>Sensor!C48</f>
        <v>DEFAULT_RESERVED_SENSOR</v>
      </c>
      <c r="C217" s="51" t="str">
        <f>Sensor!B48</f>
        <v>3FB58</v>
      </c>
      <c r="D217" s="23">
        <f>Sensor!D48</f>
        <v>4294967295</v>
      </c>
      <c r="E217" s="21" t="str">
        <f t="shared" si="126"/>
        <v>FFFFFFFF</v>
      </c>
      <c r="F217" s="31">
        <f t="shared" si="127"/>
        <v>255</v>
      </c>
      <c r="G217" s="18">
        <f t="shared" si="128"/>
        <v>255</v>
      </c>
      <c r="H217" s="18">
        <f t="shared" si="129"/>
        <v>255</v>
      </c>
      <c r="I217" s="32">
        <f t="shared" si="130"/>
        <v>255</v>
      </c>
      <c r="J217" s="31" t="str">
        <f t="shared" si="131"/>
        <v>FF</v>
      </c>
      <c r="K217" s="18" t="str">
        <f t="shared" si="132"/>
        <v>FF</v>
      </c>
      <c r="L217" s="18" t="str">
        <f t="shared" si="133"/>
        <v>FF</v>
      </c>
      <c r="M217" s="32" t="str">
        <f t="shared" si="134"/>
        <v>FF</v>
      </c>
      <c r="N217" s="23" t="str">
        <f t="shared" si="135"/>
        <v>ÿ</v>
      </c>
      <c r="O217" s="18" t="str">
        <f t="shared" si="136"/>
        <v>ÿ</v>
      </c>
      <c r="P217" s="18" t="str">
        <f t="shared" si="137"/>
        <v>ÿ</v>
      </c>
      <c r="Q217" s="65" t="str">
        <f t="shared" si="138"/>
        <v>ÿ</v>
      </c>
      <c r="R217" s="2" t="str">
        <f t="shared" si="139"/>
        <v>ÿÿÿÿ</v>
      </c>
    </row>
    <row r="218" spans="1:18" x14ac:dyDescent="0.25">
      <c r="A218" s="47"/>
      <c r="B218" s="55" t="str">
        <f>Sensor!C49</f>
        <v>DEFAULT_RESERVED_SENSOR</v>
      </c>
      <c r="C218" s="51" t="str">
        <f>Sensor!B49</f>
        <v>3FB5C</v>
      </c>
      <c r="D218" s="23">
        <f>Sensor!D49</f>
        <v>4294967295</v>
      </c>
      <c r="E218" s="21" t="str">
        <f t="shared" si="126"/>
        <v>FFFFFFFF</v>
      </c>
      <c r="F218" s="31">
        <f t="shared" si="127"/>
        <v>255</v>
      </c>
      <c r="G218" s="18">
        <f t="shared" si="128"/>
        <v>255</v>
      </c>
      <c r="H218" s="18">
        <f t="shared" si="129"/>
        <v>255</v>
      </c>
      <c r="I218" s="32">
        <f t="shared" si="130"/>
        <v>255</v>
      </c>
      <c r="J218" s="31" t="str">
        <f t="shared" si="131"/>
        <v>FF</v>
      </c>
      <c r="K218" s="18" t="str">
        <f t="shared" si="132"/>
        <v>FF</v>
      </c>
      <c r="L218" s="18" t="str">
        <f t="shared" si="133"/>
        <v>FF</v>
      </c>
      <c r="M218" s="32" t="str">
        <f t="shared" si="134"/>
        <v>FF</v>
      </c>
      <c r="N218" s="23" t="str">
        <f t="shared" si="135"/>
        <v>ÿ</v>
      </c>
      <c r="O218" s="18" t="str">
        <f t="shared" si="136"/>
        <v>ÿ</v>
      </c>
      <c r="P218" s="18" t="str">
        <f t="shared" si="137"/>
        <v>ÿ</v>
      </c>
      <c r="Q218" s="65" t="str">
        <f t="shared" si="138"/>
        <v>ÿ</v>
      </c>
      <c r="R218" s="2" t="str">
        <f t="shared" si="139"/>
        <v>ÿÿÿÿ</v>
      </c>
    </row>
    <row r="219" spans="1:18" x14ac:dyDescent="0.25">
      <c r="A219" s="48"/>
      <c r="B219" s="55" t="str">
        <f>Sensor!C50</f>
        <v>DEFAULT_RESERVED_SENSOR</v>
      </c>
      <c r="C219" s="51" t="str">
        <f>Sensor!B50</f>
        <v>3FB60</v>
      </c>
      <c r="D219" s="23">
        <f>Sensor!D50</f>
        <v>4294967295</v>
      </c>
      <c r="E219" s="21" t="str">
        <f t="shared" si="126"/>
        <v>FFFFFFFF</v>
      </c>
      <c r="F219" s="31">
        <f t="shared" si="127"/>
        <v>255</v>
      </c>
      <c r="G219" s="18">
        <f t="shared" si="128"/>
        <v>255</v>
      </c>
      <c r="H219" s="18">
        <f t="shared" si="129"/>
        <v>255</v>
      </c>
      <c r="I219" s="32">
        <f t="shared" si="130"/>
        <v>255</v>
      </c>
      <c r="J219" s="31" t="str">
        <f t="shared" si="131"/>
        <v>FF</v>
      </c>
      <c r="K219" s="18" t="str">
        <f t="shared" si="132"/>
        <v>FF</v>
      </c>
      <c r="L219" s="18" t="str">
        <f t="shared" si="133"/>
        <v>FF</v>
      </c>
      <c r="M219" s="32" t="str">
        <f t="shared" si="134"/>
        <v>FF</v>
      </c>
      <c r="N219" s="23" t="str">
        <f t="shared" si="135"/>
        <v>ÿ</v>
      </c>
      <c r="O219" s="18" t="str">
        <f t="shared" si="136"/>
        <v>ÿ</v>
      </c>
      <c r="P219" s="18" t="str">
        <f t="shared" si="137"/>
        <v>ÿ</v>
      </c>
      <c r="Q219" s="65" t="str">
        <f t="shared" si="138"/>
        <v>ÿ</v>
      </c>
      <c r="R219" s="2" t="str">
        <f t="shared" si="139"/>
        <v>ÿÿÿÿ</v>
      </c>
    </row>
    <row r="220" spans="1:18" x14ac:dyDescent="0.25">
      <c r="A220" s="47"/>
      <c r="B220" s="55" t="str">
        <f>Sensor!C51</f>
        <v>DEFAULT_RESERVED_SENSOR</v>
      </c>
      <c r="C220" s="51" t="str">
        <f>Sensor!B51</f>
        <v>3FB64</v>
      </c>
      <c r="D220" s="23">
        <f>Sensor!D51</f>
        <v>4294967295</v>
      </c>
      <c r="E220" s="21" t="str">
        <f t="shared" si="126"/>
        <v>FFFFFFFF</v>
      </c>
      <c r="F220" s="31">
        <f t="shared" si="127"/>
        <v>255</v>
      </c>
      <c r="G220" s="18">
        <f t="shared" si="128"/>
        <v>255</v>
      </c>
      <c r="H220" s="18">
        <f t="shared" si="129"/>
        <v>255</v>
      </c>
      <c r="I220" s="32">
        <f t="shared" si="130"/>
        <v>255</v>
      </c>
      <c r="J220" s="31" t="str">
        <f t="shared" si="131"/>
        <v>FF</v>
      </c>
      <c r="K220" s="18" t="str">
        <f t="shared" si="132"/>
        <v>FF</v>
      </c>
      <c r="L220" s="18" t="str">
        <f t="shared" si="133"/>
        <v>FF</v>
      </c>
      <c r="M220" s="32" t="str">
        <f t="shared" si="134"/>
        <v>FF</v>
      </c>
      <c r="N220" s="23" t="str">
        <f t="shared" si="135"/>
        <v>ÿ</v>
      </c>
      <c r="O220" s="18" t="str">
        <f t="shared" si="136"/>
        <v>ÿ</v>
      </c>
      <c r="P220" s="18" t="str">
        <f t="shared" si="137"/>
        <v>ÿ</v>
      </c>
      <c r="Q220" s="65" t="str">
        <f t="shared" si="138"/>
        <v>ÿ</v>
      </c>
      <c r="R220" s="2" t="str">
        <f t="shared" si="139"/>
        <v>ÿÿÿÿ</v>
      </c>
    </row>
    <row r="221" spans="1:18" x14ac:dyDescent="0.25">
      <c r="A221" s="48"/>
      <c r="B221" s="55" t="str">
        <f>Sensor!C52</f>
        <v>DEFAULT_RESERVED_SENSOR</v>
      </c>
      <c r="C221" s="51" t="str">
        <f>Sensor!B52</f>
        <v>3FB68</v>
      </c>
      <c r="D221" s="23">
        <f>Sensor!D52</f>
        <v>4294967295</v>
      </c>
      <c r="E221" s="21" t="str">
        <f t="shared" si="126"/>
        <v>FFFFFFFF</v>
      </c>
      <c r="F221" s="31">
        <f t="shared" si="127"/>
        <v>255</v>
      </c>
      <c r="G221" s="18">
        <f t="shared" si="128"/>
        <v>255</v>
      </c>
      <c r="H221" s="18">
        <f t="shared" si="129"/>
        <v>255</v>
      </c>
      <c r="I221" s="32">
        <f t="shared" si="130"/>
        <v>255</v>
      </c>
      <c r="J221" s="31" t="str">
        <f t="shared" si="131"/>
        <v>FF</v>
      </c>
      <c r="K221" s="18" t="str">
        <f t="shared" si="132"/>
        <v>FF</v>
      </c>
      <c r="L221" s="18" t="str">
        <f t="shared" si="133"/>
        <v>FF</v>
      </c>
      <c r="M221" s="32" t="str">
        <f t="shared" si="134"/>
        <v>FF</v>
      </c>
      <c r="N221" s="23" t="str">
        <f t="shared" si="135"/>
        <v>ÿ</v>
      </c>
      <c r="O221" s="18" t="str">
        <f t="shared" si="136"/>
        <v>ÿ</v>
      </c>
      <c r="P221" s="18" t="str">
        <f t="shared" si="137"/>
        <v>ÿ</v>
      </c>
      <c r="Q221" s="65" t="str">
        <f t="shared" si="138"/>
        <v>ÿ</v>
      </c>
      <c r="R221" s="2" t="str">
        <f t="shared" si="139"/>
        <v>ÿÿÿÿ</v>
      </c>
    </row>
    <row r="222" spans="1:18" x14ac:dyDescent="0.25">
      <c r="A222" s="47"/>
      <c r="B222" s="55" t="str">
        <f>Sensor!C53</f>
        <v>DEFAULT_RESERVED_SENSOR</v>
      </c>
      <c r="C222" s="51" t="str">
        <f>Sensor!B53</f>
        <v>3FB6C</v>
      </c>
      <c r="D222" s="23">
        <f>Sensor!D53</f>
        <v>4294967295</v>
      </c>
      <c r="E222" s="21" t="str">
        <f t="shared" si="126"/>
        <v>FFFFFFFF</v>
      </c>
      <c r="F222" s="31">
        <f t="shared" si="127"/>
        <v>255</v>
      </c>
      <c r="G222" s="18">
        <f t="shared" si="128"/>
        <v>255</v>
      </c>
      <c r="H222" s="18">
        <f t="shared" si="129"/>
        <v>255</v>
      </c>
      <c r="I222" s="32">
        <f t="shared" si="130"/>
        <v>255</v>
      </c>
      <c r="J222" s="31" t="str">
        <f t="shared" si="131"/>
        <v>FF</v>
      </c>
      <c r="K222" s="18" t="str">
        <f t="shared" si="132"/>
        <v>FF</v>
      </c>
      <c r="L222" s="18" t="str">
        <f t="shared" si="133"/>
        <v>FF</v>
      </c>
      <c r="M222" s="32" t="str">
        <f t="shared" si="134"/>
        <v>FF</v>
      </c>
      <c r="N222" s="23" t="str">
        <f t="shared" si="135"/>
        <v>ÿ</v>
      </c>
      <c r="O222" s="18" t="str">
        <f t="shared" si="136"/>
        <v>ÿ</v>
      </c>
      <c r="P222" s="18" t="str">
        <f t="shared" si="137"/>
        <v>ÿ</v>
      </c>
      <c r="Q222" s="65" t="str">
        <f t="shared" si="138"/>
        <v>ÿ</v>
      </c>
      <c r="R222" s="2" t="str">
        <f t="shared" si="139"/>
        <v>ÿÿÿÿ</v>
      </c>
    </row>
    <row r="223" spans="1:18" x14ac:dyDescent="0.25">
      <c r="A223" s="47"/>
      <c r="B223" s="55" t="str">
        <f>Sensor!C54</f>
        <v>DEFAULT_RESERVED_SENSOR</v>
      </c>
      <c r="C223" s="51" t="str">
        <f>Sensor!B54</f>
        <v>3FB70</v>
      </c>
      <c r="D223" s="23">
        <f>Sensor!D54</f>
        <v>4294967295</v>
      </c>
      <c r="E223" s="21" t="str">
        <f t="shared" ref="E223:E228" si="140">IF(D223&gt;=0,DEC2HEX(D223),DEC2HEX(D223+ 2^32))</f>
        <v>FFFFFFFF</v>
      </c>
      <c r="F223" s="31">
        <f t="shared" ref="F223:F228" si="141">IF(D223 &gt;= 0,TRUNC(D223/(2^24)),TRUNC((D223 + 2^32)/(2^24)))</f>
        <v>255</v>
      </c>
      <c r="G223" s="18">
        <f t="shared" ref="G223:G228" si="142">IF(D223&gt;=0,TRUNC((D223-(F223*2^24))/(2^16)),TRUNC(((D223+2^32)-(F223*2^24))/(2^16)))</f>
        <v>255</v>
      </c>
      <c r="H223" s="18">
        <f t="shared" ref="H223:H228" si="143">IF(D223&gt;=0,TRUNC((D223-((F223*2^24)+(G223*2^16)))/2^8),TRUNC(((D223 + 2^32)-((F223*2^24)+(G223*2^16)))/2^8))</f>
        <v>255</v>
      </c>
      <c r="I223" s="32">
        <f t="shared" ref="I223:I228" si="144">IF(D223&gt;=0,TRUNC((D223-((F223*2^24)+(G223*2^16)+(H223*2^8)))),TRUNC(((D223+2^32)-((F223*2^24)+(G223*2^16)+(H223*2^8)))))</f>
        <v>255</v>
      </c>
      <c r="J223" s="31" t="str">
        <f t="shared" ref="J223:J228" si="145">DEC2HEX(F223)</f>
        <v>FF</v>
      </c>
      <c r="K223" s="18" t="str">
        <f t="shared" ref="K223:K228" si="146">DEC2HEX(G223)</f>
        <v>FF</v>
      </c>
      <c r="L223" s="18" t="str">
        <f t="shared" ref="L223:L228" si="147">DEC2HEX(H223)</f>
        <v>FF</v>
      </c>
      <c r="M223" s="32" t="str">
        <f t="shared" ref="M223:M228" si="148">DEC2HEX(I223)</f>
        <v>FF</v>
      </c>
      <c r="N223" s="23" t="str">
        <f t="shared" ref="N223:N228" si="149">IF(F223&lt;&gt;0,CHAR(F223),"")</f>
        <v>ÿ</v>
      </c>
      <c r="O223" s="18" t="str">
        <f t="shared" ref="O223:O228" si="150">IF(G223&lt;&gt;0,CHAR(G223),"")</f>
        <v>ÿ</v>
      </c>
      <c r="P223" s="18" t="str">
        <f t="shared" ref="P223:P228" si="151">IF(H223&lt;&gt;0,CHAR(H223),"")</f>
        <v>ÿ</v>
      </c>
      <c r="Q223" s="65" t="str">
        <f t="shared" ref="Q223:Q228" si="152">IF(I223&lt;&gt;0,CHAR(I223),"")</f>
        <v>ÿ</v>
      </c>
      <c r="R223" s="2" t="str">
        <f t="shared" ref="R223:R228" si="153">_xlfn.CONCAT(N223,O223,P223,Q223)</f>
        <v>ÿÿÿÿ</v>
      </c>
    </row>
    <row r="224" spans="1:18" x14ac:dyDescent="0.25">
      <c r="A224" s="47"/>
      <c r="B224" s="55" t="str">
        <f>Sensor!C55</f>
        <v>DEFAULT_RESERVED_SENSOR</v>
      </c>
      <c r="C224" s="51" t="str">
        <f>Sensor!B55</f>
        <v>3FB74</v>
      </c>
      <c r="D224" s="23">
        <f>Sensor!D55</f>
        <v>4294967295</v>
      </c>
      <c r="E224" s="21" t="str">
        <f t="shared" si="140"/>
        <v>FFFFFFFF</v>
      </c>
      <c r="F224" s="31">
        <f t="shared" si="141"/>
        <v>255</v>
      </c>
      <c r="G224" s="18">
        <f t="shared" si="142"/>
        <v>255</v>
      </c>
      <c r="H224" s="18">
        <f t="shared" si="143"/>
        <v>255</v>
      </c>
      <c r="I224" s="32">
        <f t="shared" si="144"/>
        <v>255</v>
      </c>
      <c r="J224" s="31" t="str">
        <f t="shared" si="145"/>
        <v>FF</v>
      </c>
      <c r="K224" s="18" t="str">
        <f t="shared" si="146"/>
        <v>FF</v>
      </c>
      <c r="L224" s="18" t="str">
        <f t="shared" si="147"/>
        <v>FF</v>
      </c>
      <c r="M224" s="32" t="str">
        <f t="shared" si="148"/>
        <v>FF</v>
      </c>
      <c r="N224" s="23" t="str">
        <f t="shared" si="149"/>
        <v>ÿ</v>
      </c>
      <c r="O224" s="18" t="str">
        <f t="shared" si="150"/>
        <v>ÿ</v>
      </c>
      <c r="P224" s="18" t="str">
        <f t="shared" si="151"/>
        <v>ÿ</v>
      </c>
      <c r="Q224" s="65" t="str">
        <f t="shared" si="152"/>
        <v>ÿ</v>
      </c>
      <c r="R224" s="2" t="str">
        <f t="shared" si="153"/>
        <v>ÿÿÿÿ</v>
      </c>
    </row>
    <row r="225" spans="1:18" x14ac:dyDescent="0.25">
      <c r="A225" s="47"/>
      <c r="B225" s="55" t="str">
        <f>Sensor!C56</f>
        <v>DEFAULT_RESERVED_SENSOR</v>
      </c>
      <c r="C225" s="51" t="str">
        <f>Sensor!B56</f>
        <v>3FB78</v>
      </c>
      <c r="D225" s="23">
        <f>Sensor!D56</f>
        <v>4294967295</v>
      </c>
      <c r="E225" s="21" t="str">
        <f t="shared" si="140"/>
        <v>FFFFFFFF</v>
      </c>
      <c r="F225" s="31">
        <f t="shared" si="141"/>
        <v>255</v>
      </c>
      <c r="G225" s="18">
        <f t="shared" si="142"/>
        <v>255</v>
      </c>
      <c r="H225" s="18">
        <f t="shared" si="143"/>
        <v>255</v>
      </c>
      <c r="I225" s="32">
        <f t="shared" si="144"/>
        <v>255</v>
      </c>
      <c r="J225" s="31" t="str">
        <f t="shared" si="145"/>
        <v>FF</v>
      </c>
      <c r="K225" s="18" t="str">
        <f t="shared" si="146"/>
        <v>FF</v>
      </c>
      <c r="L225" s="18" t="str">
        <f t="shared" si="147"/>
        <v>FF</v>
      </c>
      <c r="M225" s="32" t="str">
        <f t="shared" si="148"/>
        <v>FF</v>
      </c>
      <c r="N225" s="23" t="str">
        <f t="shared" si="149"/>
        <v>ÿ</v>
      </c>
      <c r="O225" s="18" t="str">
        <f t="shared" si="150"/>
        <v>ÿ</v>
      </c>
      <c r="P225" s="18" t="str">
        <f t="shared" si="151"/>
        <v>ÿ</v>
      </c>
      <c r="Q225" s="65" t="str">
        <f t="shared" si="152"/>
        <v>ÿ</v>
      </c>
      <c r="R225" s="2" t="str">
        <f t="shared" si="153"/>
        <v>ÿÿÿÿ</v>
      </c>
    </row>
    <row r="226" spans="1:18" x14ac:dyDescent="0.25">
      <c r="A226" s="47"/>
      <c r="B226" s="55" t="str">
        <f>Sensor!C57</f>
        <v>DEFAULT_RESERVED_SENSOR</v>
      </c>
      <c r="C226" s="51" t="str">
        <f>Sensor!B57</f>
        <v>3FB7C</v>
      </c>
      <c r="D226" s="23">
        <f>Sensor!D57</f>
        <v>4294967295</v>
      </c>
      <c r="E226" s="21" t="str">
        <f t="shared" si="140"/>
        <v>FFFFFFFF</v>
      </c>
      <c r="F226" s="31">
        <f t="shared" si="141"/>
        <v>255</v>
      </c>
      <c r="G226" s="18">
        <f t="shared" si="142"/>
        <v>255</v>
      </c>
      <c r="H226" s="18">
        <f t="shared" si="143"/>
        <v>255</v>
      </c>
      <c r="I226" s="32">
        <f t="shared" si="144"/>
        <v>255</v>
      </c>
      <c r="J226" s="31" t="str">
        <f t="shared" si="145"/>
        <v>FF</v>
      </c>
      <c r="K226" s="18" t="str">
        <f t="shared" si="146"/>
        <v>FF</v>
      </c>
      <c r="L226" s="18" t="str">
        <f t="shared" si="147"/>
        <v>FF</v>
      </c>
      <c r="M226" s="32" t="str">
        <f t="shared" si="148"/>
        <v>FF</v>
      </c>
      <c r="N226" s="23" t="str">
        <f t="shared" si="149"/>
        <v>ÿ</v>
      </c>
      <c r="O226" s="18" t="str">
        <f t="shared" si="150"/>
        <v>ÿ</v>
      </c>
      <c r="P226" s="18" t="str">
        <f t="shared" si="151"/>
        <v>ÿ</v>
      </c>
      <c r="Q226" s="65" t="str">
        <f t="shared" si="152"/>
        <v>ÿ</v>
      </c>
      <c r="R226" s="2" t="str">
        <f t="shared" si="153"/>
        <v>ÿÿÿÿ</v>
      </c>
    </row>
    <row r="227" spans="1:18" x14ac:dyDescent="0.25">
      <c r="A227" s="47"/>
      <c r="B227" s="55" t="str">
        <f>Sensor!C58</f>
        <v>DEFAULT_RESERVED_SENSOR</v>
      </c>
      <c r="C227" s="51" t="str">
        <f>Sensor!B58</f>
        <v>3FB80</v>
      </c>
      <c r="D227" s="23">
        <f>Sensor!D58</f>
        <v>4294967295</v>
      </c>
      <c r="E227" s="21" t="str">
        <f t="shared" si="140"/>
        <v>FFFFFFFF</v>
      </c>
      <c r="F227" s="31">
        <f t="shared" si="141"/>
        <v>255</v>
      </c>
      <c r="G227" s="18">
        <f t="shared" si="142"/>
        <v>255</v>
      </c>
      <c r="H227" s="18">
        <f t="shared" si="143"/>
        <v>255</v>
      </c>
      <c r="I227" s="32">
        <f t="shared" si="144"/>
        <v>255</v>
      </c>
      <c r="J227" s="31" t="str">
        <f t="shared" si="145"/>
        <v>FF</v>
      </c>
      <c r="K227" s="18" t="str">
        <f t="shared" si="146"/>
        <v>FF</v>
      </c>
      <c r="L227" s="18" t="str">
        <f t="shared" si="147"/>
        <v>FF</v>
      </c>
      <c r="M227" s="32" t="str">
        <f t="shared" si="148"/>
        <v>FF</v>
      </c>
      <c r="N227" s="23" t="str">
        <f t="shared" si="149"/>
        <v>ÿ</v>
      </c>
      <c r="O227" s="18" t="str">
        <f t="shared" si="150"/>
        <v>ÿ</v>
      </c>
      <c r="P227" s="18" t="str">
        <f t="shared" si="151"/>
        <v>ÿ</v>
      </c>
      <c r="Q227" s="65" t="str">
        <f t="shared" si="152"/>
        <v>ÿ</v>
      </c>
      <c r="R227" s="2" t="str">
        <f t="shared" si="153"/>
        <v>ÿÿÿÿ</v>
      </c>
    </row>
    <row r="228" spans="1:18" x14ac:dyDescent="0.25">
      <c r="A228" s="47"/>
      <c r="B228" s="55" t="str">
        <f>Sensor!C59</f>
        <v>DEFAULT_RESERVED_SENSOR</v>
      </c>
      <c r="C228" s="51" t="str">
        <f>Sensor!B59</f>
        <v>3FB84</v>
      </c>
      <c r="D228" s="23">
        <f>Sensor!D59</f>
        <v>4294967295</v>
      </c>
      <c r="E228" s="21" t="str">
        <f t="shared" si="140"/>
        <v>FFFFFFFF</v>
      </c>
      <c r="F228" s="31">
        <f t="shared" si="141"/>
        <v>255</v>
      </c>
      <c r="G228" s="18">
        <f t="shared" si="142"/>
        <v>255</v>
      </c>
      <c r="H228" s="18">
        <f t="shared" si="143"/>
        <v>255</v>
      </c>
      <c r="I228" s="32">
        <f t="shared" si="144"/>
        <v>255</v>
      </c>
      <c r="J228" s="31" t="str">
        <f t="shared" si="145"/>
        <v>FF</v>
      </c>
      <c r="K228" s="18" t="str">
        <f t="shared" si="146"/>
        <v>FF</v>
      </c>
      <c r="L228" s="18" t="str">
        <f t="shared" si="147"/>
        <v>FF</v>
      </c>
      <c r="M228" s="32" t="str">
        <f t="shared" si="148"/>
        <v>FF</v>
      </c>
      <c r="N228" s="23" t="str">
        <f t="shared" si="149"/>
        <v>ÿ</v>
      </c>
      <c r="O228" s="18" t="str">
        <f t="shared" si="150"/>
        <v>ÿ</v>
      </c>
      <c r="P228" s="18" t="str">
        <f t="shared" si="151"/>
        <v>ÿ</v>
      </c>
      <c r="Q228" s="65" t="str">
        <f t="shared" si="152"/>
        <v>ÿ</v>
      </c>
      <c r="R228" s="2" t="str">
        <f t="shared" si="153"/>
        <v>ÿÿÿÿ</v>
      </c>
    </row>
    <row r="229" spans="1:18" x14ac:dyDescent="0.25">
      <c r="A229" s="48"/>
      <c r="B229" s="55" t="str">
        <f>Sensor!C60</f>
        <v>DEFAULT_RESERVED_SENSOR</v>
      </c>
      <c r="C229" s="51" t="str">
        <f>Sensor!B60</f>
        <v>3FB88</v>
      </c>
      <c r="D229" s="23">
        <f>Sensor!D60</f>
        <v>4294967295</v>
      </c>
      <c r="E229" s="21" t="str">
        <f t="shared" ref="E229:E234" si="154">IF(D229&gt;=0,DEC2HEX(D229),DEC2HEX(D229+ 2^32))</f>
        <v>FFFFFFFF</v>
      </c>
      <c r="F229" s="31">
        <f t="shared" ref="F229:F234" si="155">IF(D229 &gt;= 0,TRUNC(D229/(2^24)),TRUNC((D229 + 2^32)/(2^24)))</f>
        <v>255</v>
      </c>
      <c r="G229" s="18">
        <f t="shared" ref="G229:G234" si="156">IF(D229&gt;=0,TRUNC((D229-(F229*2^24))/(2^16)),TRUNC(((D229+2^32)-(F229*2^24))/(2^16)))</f>
        <v>255</v>
      </c>
      <c r="H229" s="18">
        <f t="shared" ref="H229:H234" si="157">IF(D229&gt;=0,TRUNC((D229-((F229*2^24)+(G229*2^16)))/2^8),TRUNC(((D229 + 2^32)-((F229*2^24)+(G229*2^16)))/2^8))</f>
        <v>255</v>
      </c>
      <c r="I229" s="32">
        <f t="shared" ref="I229:I234" si="158">IF(D229&gt;=0,TRUNC((D229-((F229*2^24)+(G229*2^16)+(H229*2^8)))),TRUNC(((D229+2^32)-((F229*2^24)+(G229*2^16)+(H229*2^8)))))</f>
        <v>255</v>
      </c>
      <c r="J229" s="31" t="str">
        <f t="shared" ref="J229:J234" si="159">DEC2HEX(F229)</f>
        <v>FF</v>
      </c>
      <c r="K229" s="18" t="str">
        <f t="shared" ref="K229:K234" si="160">DEC2HEX(G229)</f>
        <v>FF</v>
      </c>
      <c r="L229" s="18" t="str">
        <f t="shared" ref="L229:L234" si="161">DEC2HEX(H229)</f>
        <v>FF</v>
      </c>
      <c r="M229" s="32" t="str">
        <f t="shared" ref="M229:M234" si="162">DEC2HEX(I229)</f>
        <v>FF</v>
      </c>
      <c r="N229" s="23" t="str">
        <f t="shared" ref="N229:N234" si="163">IF(F229&lt;&gt;0,CHAR(F229),"")</f>
        <v>ÿ</v>
      </c>
      <c r="O229" s="18" t="str">
        <f t="shared" ref="O229:O234" si="164">IF(G229&lt;&gt;0,CHAR(G229),"")</f>
        <v>ÿ</v>
      </c>
      <c r="P229" s="18" t="str">
        <f t="shared" ref="P229:P234" si="165">IF(H229&lt;&gt;0,CHAR(H229),"")</f>
        <v>ÿ</v>
      </c>
      <c r="Q229" s="65" t="str">
        <f t="shared" ref="Q229:Q234" si="166">IF(I229&lt;&gt;0,CHAR(I229),"")</f>
        <v>ÿ</v>
      </c>
      <c r="R229" s="2" t="str">
        <f t="shared" ref="R229:R234" si="167">_xlfn.CONCAT(N229,O229,P229,Q229)</f>
        <v>ÿÿÿÿ</v>
      </c>
    </row>
    <row r="230" spans="1:18" x14ac:dyDescent="0.25">
      <c r="A230" s="47"/>
      <c r="B230" s="55" t="str">
        <f>Sensor!C61</f>
        <v>DEFAULT_RESERVED_SENSOR</v>
      </c>
      <c r="C230" s="51" t="str">
        <f>Sensor!B61</f>
        <v>3FB8C</v>
      </c>
      <c r="D230" s="23">
        <f>Sensor!D61</f>
        <v>4294967295</v>
      </c>
      <c r="E230" s="21" t="str">
        <f t="shared" si="154"/>
        <v>FFFFFFFF</v>
      </c>
      <c r="F230" s="31">
        <f t="shared" si="155"/>
        <v>255</v>
      </c>
      <c r="G230" s="18">
        <f t="shared" si="156"/>
        <v>255</v>
      </c>
      <c r="H230" s="18">
        <f t="shared" si="157"/>
        <v>255</v>
      </c>
      <c r="I230" s="32">
        <f t="shared" si="158"/>
        <v>255</v>
      </c>
      <c r="J230" s="31" t="str">
        <f t="shared" si="159"/>
        <v>FF</v>
      </c>
      <c r="K230" s="18" t="str">
        <f t="shared" si="160"/>
        <v>FF</v>
      </c>
      <c r="L230" s="18" t="str">
        <f t="shared" si="161"/>
        <v>FF</v>
      </c>
      <c r="M230" s="32" t="str">
        <f t="shared" si="162"/>
        <v>FF</v>
      </c>
      <c r="N230" s="23" t="str">
        <f t="shared" si="163"/>
        <v>ÿ</v>
      </c>
      <c r="O230" s="18" t="str">
        <f t="shared" si="164"/>
        <v>ÿ</v>
      </c>
      <c r="P230" s="18" t="str">
        <f t="shared" si="165"/>
        <v>ÿ</v>
      </c>
      <c r="Q230" s="65" t="str">
        <f t="shared" si="166"/>
        <v>ÿ</v>
      </c>
      <c r="R230" s="2" t="str">
        <f t="shared" si="167"/>
        <v>ÿÿÿÿ</v>
      </c>
    </row>
    <row r="231" spans="1:18" x14ac:dyDescent="0.25">
      <c r="A231" s="48"/>
      <c r="B231" s="55" t="str">
        <f>Sensor!C62</f>
        <v>DEFAULT_RESERVED_SENSOR</v>
      </c>
      <c r="C231" s="51" t="str">
        <f>Sensor!B62</f>
        <v>3FB90</v>
      </c>
      <c r="D231" s="23">
        <f>Sensor!D62</f>
        <v>4294967295</v>
      </c>
      <c r="E231" s="21" t="str">
        <f t="shared" si="154"/>
        <v>FFFFFFFF</v>
      </c>
      <c r="F231" s="31">
        <f t="shared" si="155"/>
        <v>255</v>
      </c>
      <c r="G231" s="18">
        <f t="shared" si="156"/>
        <v>255</v>
      </c>
      <c r="H231" s="18">
        <f t="shared" si="157"/>
        <v>255</v>
      </c>
      <c r="I231" s="32">
        <f t="shared" si="158"/>
        <v>255</v>
      </c>
      <c r="J231" s="31" t="str">
        <f t="shared" si="159"/>
        <v>FF</v>
      </c>
      <c r="K231" s="18" t="str">
        <f t="shared" si="160"/>
        <v>FF</v>
      </c>
      <c r="L231" s="18" t="str">
        <f t="shared" si="161"/>
        <v>FF</v>
      </c>
      <c r="M231" s="32" t="str">
        <f t="shared" si="162"/>
        <v>FF</v>
      </c>
      <c r="N231" s="23" t="str">
        <f t="shared" si="163"/>
        <v>ÿ</v>
      </c>
      <c r="O231" s="18" t="str">
        <f t="shared" si="164"/>
        <v>ÿ</v>
      </c>
      <c r="P231" s="18" t="str">
        <f t="shared" si="165"/>
        <v>ÿ</v>
      </c>
      <c r="Q231" s="65" t="str">
        <f t="shared" si="166"/>
        <v>ÿ</v>
      </c>
      <c r="R231" s="2" t="str">
        <f t="shared" si="167"/>
        <v>ÿÿÿÿ</v>
      </c>
    </row>
    <row r="232" spans="1:18" x14ac:dyDescent="0.25">
      <c r="A232" s="47"/>
      <c r="B232" s="55" t="str">
        <f>Sensor!C63</f>
        <v>DEFAULT_RESERVED_SENSOR</v>
      </c>
      <c r="C232" s="51" t="str">
        <f>Sensor!B63</f>
        <v>3FB94</v>
      </c>
      <c r="D232" s="23">
        <f>Sensor!D63</f>
        <v>4294967295</v>
      </c>
      <c r="E232" s="21" t="str">
        <f t="shared" si="154"/>
        <v>FFFFFFFF</v>
      </c>
      <c r="F232" s="31">
        <f t="shared" si="155"/>
        <v>255</v>
      </c>
      <c r="G232" s="18">
        <f t="shared" si="156"/>
        <v>255</v>
      </c>
      <c r="H232" s="18">
        <f t="shared" si="157"/>
        <v>255</v>
      </c>
      <c r="I232" s="32">
        <f t="shared" si="158"/>
        <v>255</v>
      </c>
      <c r="J232" s="31" t="str">
        <f t="shared" si="159"/>
        <v>FF</v>
      </c>
      <c r="K232" s="18" t="str">
        <f t="shared" si="160"/>
        <v>FF</v>
      </c>
      <c r="L232" s="18" t="str">
        <f t="shared" si="161"/>
        <v>FF</v>
      </c>
      <c r="M232" s="32" t="str">
        <f t="shared" si="162"/>
        <v>FF</v>
      </c>
      <c r="N232" s="23" t="str">
        <f t="shared" si="163"/>
        <v>ÿ</v>
      </c>
      <c r="O232" s="18" t="str">
        <f t="shared" si="164"/>
        <v>ÿ</v>
      </c>
      <c r="P232" s="18" t="str">
        <f t="shared" si="165"/>
        <v>ÿ</v>
      </c>
      <c r="Q232" s="65" t="str">
        <f t="shared" si="166"/>
        <v>ÿ</v>
      </c>
      <c r="R232" s="2" t="str">
        <f t="shared" si="167"/>
        <v>ÿÿÿÿ</v>
      </c>
    </row>
    <row r="233" spans="1:18" x14ac:dyDescent="0.25">
      <c r="A233" s="48"/>
      <c r="B233" s="55" t="str">
        <f>Sensor!C64</f>
        <v>DEFAULT_RESERVED_SENSOR</v>
      </c>
      <c r="C233" s="51" t="str">
        <f>Sensor!B64</f>
        <v>3FB98</v>
      </c>
      <c r="D233" s="23">
        <f>Sensor!D64</f>
        <v>4294967295</v>
      </c>
      <c r="E233" s="21" t="str">
        <f t="shared" si="154"/>
        <v>FFFFFFFF</v>
      </c>
      <c r="F233" s="31">
        <f t="shared" si="155"/>
        <v>255</v>
      </c>
      <c r="G233" s="18">
        <f t="shared" si="156"/>
        <v>255</v>
      </c>
      <c r="H233" s="18">
        <f t="shared" si="157"/>
        <v>255</v>
      </c>
      <c r="I233" s="32">
        <f t="shared" si="158"/>
        <v>255</v>
      </c>
      <c r="J233" s="31" t="str">
        <f t="shared" si="159"/>
        <v>FF</v>
      </c>
      <c r="K233" s="18" t="str">
        <f t="shared" si="160"/>
        <v>FF</v>
      </c>
      <c r="L233" s="18" t="str">
        <f t="shared" si="161"/>
        <v>FF</v>
      </c>
      <c r="M233" s="32" t="str">
        <f t="shared" si="162"/>
        <v>FF</v>
      </c>
      <c r="N233" s="23" t="str">
        <f t="shared" si="163"/>
        <v>ÿ</v>
      </c>
      <c r="O233" s="18" t="str">
        <f t="shared" si="164"/>
        <v>ÿ</v>
      </c>
      <c r="P233" s="18" t="str">
        <f t="shared" si="165"/>
        <v>ÿ</v>
      </c>
      <c r="Q233" s="65" t="str">
        <f t="shared" si="166"/>
        <v>ÿ</v>
      </c>
      <c r="R233" s="2" t="str">
        <f t="shared" si="167"/>
        <v>ÿÿÿÿ</v>
      </c>
    </row>
    <row r="234" spans="1:18" ht="15.75" thickBot="1" x14ac:dyDescent="0.3">
      <c r="A234" s="100"/>
      <c r="B234" s="101" t="str">
        <f>Sensor!C65</f>
        <v>DEFAULT_RESERVED_SENSOR</v>
      </c>
      <c r="C234" s="102" t="str">
        <f>Sensor!B65</f>
        <v>3FB9C</v>
      </c>
      <c r="D234" s="103">
        <f>Sensor!D65</f>
        <v>4294967295</v>
      </c>
      <c r="E234" s="104" t="str">
        <f t="shared" si="154"/>
        <v>FFFFFFFF</v>
      </c>
      <c r="F234" s="105">
        <f t="shared" si="155"/>
        <v>255</v>
      </c>
      <c r="G234" s="106">
        <f t="shared" si="156"/>
        <v>255</v>
      </c>
      <c r="H234" s="106">
        <f t="shared" si="157"/>
        <v>255</v>
      </c>
      <c r="I234" s="107">
        <f t="shared" si="158"/>
        <v>255</v>
      </c>
      <c r="J234" s="105" t="str">
        <f t="shared" si="159"/>
        <v>FF</v>
      </c>
      <c r="K234" s="106" t="str">
        <f t="shared" si="160"/>
        <v>FF</v>
      </c>
      <c r="L234" s="106" t="str">
        <f t="shared" si="161"/>
        <v>FF</v>
      </c>
      <c r="M234" s="107" t="str">
        <f t="shared" si="162"/>
        <v>FF</v>
      </c>
      <c r="N234" s="103" t="str">
        <f t="shared" si="163"/>
        <v>ÿ</v>
      </c>
      <c r="O234" s="106" t="str">
        <f t="shared" si="164"/>
        <v>ÿ</v>
      </c>
      <c r="P234" s="106" t="str">
        <f t="shared" si="165"/>
        <v>ÿ</v>
      </c>
      <c r="Q234" s="108" t="str">
        <f t="shared" si="166"/>
        <v>ÿ</v>
      </c>
      <c r="R234" s="16" t="str">
        <f t="shared" si="167"/>
        <v>ÿÿÿÿ</v>
      </c>
    </row>
    <row r="235" spans="1:18" x14ac:dyDescent="0.25">
      <c r="A235" s="49"/>
      <c r="B235" s="57" t="str">
        <f>Lead!C2</f>
        <v>DEFAULT_LeadModelNumber1</v>
      </c>
      <c r="C235" s="4" t="str">
        <f>Lead!B2</f>
        <v>3FBA0</v>
      </c>
      <c r="D235" s="113" t="str">
        <f>Lead!D2</f>
        <v>NONE</v>
      </c>
      <c r="E235" s="38" t="s">
        <v>114</v>
      </c>
      <c r="F235" s="39" t="s">
        <v>114</v>
      </c>
      <c r="G235" s="40" t="s">
        <v>114</v>
      </c>
      <c r="H235" s="40" t="s">
        <v>114</v>
      </c>
      <c r="I235" s="41" t="s">
        <v>114</v>
      </c>
      <c r="J235" s="37" t="str">
        <f>MID($D235,1,1)</f>
        <v>N</v>
      </c>
      <c r="K235" s="40" t="str">
        <f>MID($D235,2,1)</f>
        <v>O</v>
      </c>
      <c r="L235" s="40" t="str">
        <f>MID($D235,3,1)</f>
        <v>N</v>
      </c>
      <c r="M235" s="66" t="str">
        <f>MID($D235,4,1)</f>
        <v>E</v>
      </c>
      <c r="N235" s="37" t="str">
        <f>MID($D235,1,1)</f>
        <v>N</v>
      </c>
      <c r="O235" s="40" t="str">
        <f>MID($D235,2,1)</f>
        <v>O</v>
      </c>
      <c r="P235" s="40" t="str">
        <f>MID($D235,3,1)</f>
        <v>N</v>
      </c>
      <c r="Q235" s="66" t="str">
        <f>MID($D235,4,1)</f>
        <v>E</v>
      </c>
      <c r="R235" s="2" t="str">
        <f t="shared" ref="R235:R268" si="168">_xlfn.CONCAT(N235,O235,P235,Q235)</f>
        <v>NONE</v>
      </c>
    </row>
    <row r="236" spans="1:18" x14ac:dyDescent="0.25">
      <c r="A236" s="47"/>
      <c r="B236" s="56" t="str">
        <f>Lead!C3</f>
        <v>DEFAULT_LeadModelNumber2</v>
      </c>
      <c r="C236" s="52" t="str">
        <f>Lead!B3</f>
        <v>3FBA4</v>
      </c>
      <c r="D236" s="115" t="str">
        <f>Lead!D3</f>
        <v xml:space="preserve">    </v>
      </c>
      <c r="E236" s="25" t="s">
        <v>114</v>
      </c>
      <c r="F236" s="29" t="s">
        <v>114</v>
      </c>
      <c r="G236" s="19" t="s">
        <v>114</v>
      </c>
      <c r="H236" s="19" t="s">
        <v>114</v>
      </c>
      <c r="I236" s="30" t="s">
        <v>114</v>
      </c>
      <c r="J236" s="22" t="str">
        <f>MID($D236,1,1)</f>
        <v xml:space="preserve"> </v>
      </c>
      <c r="K236" s="19" t="str">
        <f>MID($D236,2,1)</f>
        <v xml:space="preserve"> </v>
      </c>
      <c r="L236" s="19" t="str">
        <f>MID($D236,3,1)</f>
        <v xml:space="preserve"> </v>
      </c>
      <c r="M236" s="61" t="str">
        <f>MID($D236,4,1)</f>
        <v xml:space="preserve"> </v>
      </c>
      <c r="N236" s="22" t="str">
        <f>MID($D236,1,1)</f>
        <v xml:space="preserve"> </v>
      </c>
      <c r="O236" s="19" t="str">
        <f>MID($D236,2,1)</f>
        <v xml:space="preserve"> </v>
      </c>
      <c r="P236" s="19" t="str">
        <f>MID($D236,3,1)</f>
        <v xml:space="preserve"> </v>
      </c>
      <c r="Q236" s="61" t="str">
        <f>MID($D236,4,1)</f>
        <v xml:space="preserve"> </v>
      </c>
      <c r="R236" s="64" t="str">
        <f t="shared" si="168"/>
        <v xml:space="preserve">    </v>
      </c>
    </row>
    <row r="237" spans="1:18" x14ac:dyDescent="0.25">
      <c r="A237" s="48"/>
      <c r="B237" s="55" t="str">
        <f>Lead!C4</f>
        <v>DEFAULT_LeadModelNumber3</v>
      </c>
      <c r="C237" s="51" t="str">
        <f>Lead!B4</f>
        <v>3FBA8</v>
      </c>
      <c r="D237" s="114" t="str">
        <f>Lead!D4</f>
        <v xml:space="preserve">    </v>
      </c>
      <c r="E237" s="21" t="s">
        <v>114</v>
      </c>
      <c r="F237" s="31" t="s">
        <v>114</v>
      </c>
      <c r="G237" s="18" t="s">
        <v>114</v>
      </c>
      <c r="H237" s="18" t="s">
        <v>114</v>
      </c>
      <c r="I237" s="32" t="s">
        <v>114</v>
      </c>
      <c r="J237" s="23" t="str">
        <f>MID($D237,1,1)</f>
        <v xml:space="preserve"> </v>
      </c>
      <c r="K237" s="18" t="str">
        <f>MID($D237,2,1)</f>
        <v xml:space="preserve"> </v>
      </c>
      <c r="L237" s="18" t="str">
        <f>MID($D237,3,1)</f>
        <v xml:space="preserve"> </v>
      </c>
      <c r="M237" s="65" t="str">
        <f>MID($D237,4,1)</f>
        <v xml:space="preserve"> </v>
      </c>
      <c r="N237" s="23" t="str">
        <f>MID($D237,1,1)</f>
        <v xml:space="preserve"> </v>
      </c>
      <c r="O237" s="18" t="str">
        <f>MID($D237,2,1)</f>
        <v xml:space="preserve"> </v>
      </c>
      <c r="P237" s="18" t="str">
        <f>MID($D237,3,1)</f>
        <v xml:space="preserve"> </v>
      </c>
      <c r="Q237" s="65" t="str">
        <f>MID($D237,4,1)</f>
        <v xml:space="preserve"> </v>
      </c>
      <c r="R237" s="2" t="str">
        <f t="shared" si="168"/>
        <v xml:space="preserve">    </v>
      </c>
    </row>
    <row r="238" spans="1:18" x14ac:dyDescent="0.25">
      <c r="A238" s="47"/>
      <c r="B238" s="56" t="str">
        <f>Lead!C5</f>
        <v>DEFAULT_LeadPitchmRevPerInch</v>
      </c>
      <c r="C238" s="52" t="str">
        <f>Lead!B5</f>
        <v>3FBAC</v>
      </c>
      <c r="D238" s="22">
        <f>Lead!D5</f>
        <v>1000</v>
      </c>
      <c r="E238" s="25" t="str">
        <f t="shared" ref="E238:E266" si="169">IF(D238&gt;=0,DEC2HEX(D238),DEC2HEX(D238+ 2^32))</f>
        <v>3E8</v>
      </c>
      <c r="F238" s="29">
        <f t="shared" ref="F238:F245" si="170">IF(D238 &gt;= 0,TRUNC(D238/(2^24)),TRUNC((D238 + 2^32)/(2^24)))</f>
        <v>0</v>
      </c>
      <c r="G238" s="19">
        <f t="shared" ref="G238:G245" si="171">IF(D238&gt;=0,TRUNC((D238-(F238*2^24))/(2^16)),TRUNC(((D238+2^32)-(F238*2^24))/(2^16)))</f>
        <v>0</v>
      </c>
      <c r="H238" s="19">
        <f t="shared" ref="H238:H245" si="172">IF(D238&gt;=0,TRUNC((D238-((F238*2^24)+(G238*2^16)))/2^8),TRUNC(((D238 + 2^32)-((F238*2^24)+(G238*2^16)))/2^8))</f>
        <v>3</v>
      </c>
      <c r="I238" s="30">
        <f t="shared" ref="I238:I245" si="173">IF(D238&gt;=0,TRUNC((D238-((F238*2^24)+(G238*2^16)+(H238*2^8)))),TRUNC(((D238+2^32)-((F238*2^24)+(G238*2^16)+(H238*2^8)))))</f>
        <v>232</v>
      </c>
      <c r="J238" s="29" t="str">
        <f t="shared" ref="J238:M245" si="174">DEC2HEX(F238)</f>
        <v>0</v>
      </c>
      <c r="K238" s="19" t="str">
        <f t="shared" si="174"/>
        <v>0</v>
      </c>
      <c r="L238" s="19" t="str">
        <f t="shared" si="174"/>
        <v>3</v>
      </c>
      <c r="M238" s="30" t="str">
        <f t="shared" si="174"/>
        <v>E8</v>
      </c>
      <c r="N238" s="22" t="str">
        <f t="shared" ref="N238:N266" si="175">IF(F238&lt;&gt;0,CHAR(F238),"")</f>
        <v/>
      </c>
      <c r="O238" s="19" t="str">
        <f t="shared" ref="O238:O266" si="176">IF(G238&lt;&gt;0,CHAR(G238),"")</f>
        <v/>
      </c>
      <c r="P238" s="19" t="str">
        <f t="shared" ref="P238:P266" si="177">IF(H238&lt;&gt;0,CHAR(H238),"")</f>
        <v>_x0003_</v>
      </c>
      <c r="Q238" s="61" t="str">
        <f t="shared" ref="Q238:Q266" si="178">IF(I238&lt;&gt;0,CHAR(I238),"")</f>
        <v>è</v>
      </c>
      <c r="R238" s="64" t="str">
        <f t="shared" si="168"/>
        <v>_x0003_è</v>
      </c>
    </row>
    <row r="239" spans="1:18" x14ac:dyDescent="0.25">
      <c r="A239" s="48"/>
      <c r="B239" s="55" t="str">
        <f>Lead!C6</f>
        <v>DEFAULT_LeadMaxVelocityRPM</v>
      </c>
      <c r="C239" s="51" t="str">
        <f>Lead!B6</f>
        <v>3FBB0</v>
      </c>
      <c r="D239" s="23">
        <f>Lead!D6</f>
        <v>1</v>
      </c>
      <c r="E239" s="21" t="str">
        <f t="shared" si="169"/>
        <v>1</v>
      </c>
      <c r="F239" s="31">
        <f t="shared" si="170"/>
        <v>0</v>
      </c>
      <c r="G239" s="18">
        <f t="shared" si="171"/>
        <v>0</v>
      </c>
      <c r="H239" s="18">
        <f t="shared" si="172"/>
        <v>0</v>
      </c>
      <c r="I239" s="32">
        <f t="shared" si="173"/>
        <v>1</v>
      </c>
      <c r="J239" s="31" t="str">
        <f t="shared" si="174"/>
        <v>0</v>
      </c>
      <c r="K239" s="18" t="str">
        <f t="shared" si="174"/>
        <v>0</v>
      </c>
      <c r="L239" s="18" t="str">
        <f t="shared" si="174"/>
        <v>0</v>
      </c>
      <c r="M239" s="32" t="str">
        <f t="shared" si="174"/>
        <v>1</v>
      </c>
      <c r="N239" s="23" t="str">
        <f t="shared" si="175"/>
        <v/>
      </c>
      <c r="O239" s="18" t="str">
        <f t="shared" si="176"/>
        <v/>
      </c>
      <c r="P239" s="18" t="str">
        <f t="shared" si="177"/>
        <v/>
      </c>
      <c r="Q239" s="65" t="str">
        <f t="shared" si="178"/>
        <v>_x0001_</v>
      </c>
      <c r="R239" s="2" t="str">
        <f t="shared" si="168"/>
        <v>_x0001_</v>
      </c>
    </row>
    <row r="240" spans="1:18" x14ac:dyDescent="0.25">
      <c r="A240" s="47"/>
      <c r="B240" s="56" t="str">
        <f>Lead!C7</f>
        <v>DEFAULT_RESERVED_LEAD</v>
      </c>
      <c r="C240" s="52" t="str">
        <f>Lead!B7</f>
        <v>3FBB4</v>
      </c>
      <c r="D240" s="22">
        <f>Lead!D7</f>
        <v>4294967295</v>
      </c>
      <c r="E240" s="25" t="str">
        <f t="shared" si="169"/>
        <v>FFFFFFFF</v>
      </c>
      <c r="F240" s="29">
        <f t="shared" si="170"/>
        <v>255</v>
      </c>
      <c r="G240" s="19">
        <f t="shared" si="171"/>
        <v>255</v>
      </c>
      <c r="H240" s="19">
        <f t="shared" si="172"/>
        <v>255</v>
      </c>
      <c r="I240" s="30">
        <f t="shared" si="173"/>
        <v>255</v>
      </c>
      <c r="J240" s="29" t="str">
        <f t="shared" si="174"/>
        <v>FF</v>
      </c>
      <c r="K240" s="19" t="str">
        <f t="shared" si="174"/>
        <v>FF</v>
      </c>
      <c r="L240" s="19" t="str">
        <f t="shared" si="174"/>
        <v>FF</v>
      </c>
      <c r="M240" s="30" t="str">
        <f t="shared" si="174"/>
        <v>FF</v>
      </c>
      <c r="N240" s="22" t="str">
        <f t="shared" si="175"/>
        <v>ÿ</v>
      </c>
      <c r="O240" s="19" t="str">
        <f t="shared" si="176"/>
        <v>ÿ</v>
      </c>
      <c r="P240" s="19" t="str">
        <f t="shared" si="177"/>
        <v>ÿ</v>
      </c>
      <c r="Q240" s="61" t="str">
        <f t="shared" si="178"/>
        <v>ÿ</v>
      </c>
      <c r="R240" s="64" t="str">
        <f t="shared" si="168"/>
        <v>ÿÿÿÿ</v>
      </c>
    </row>
    <row r="241" spans="1:18" x14ac:dyDescent="0.25">
      <c r="A241" s="48"/>
      <c r="B241" s="55" t="str">
        <f>Lead!C8</f>
        <v>DEFAULT_RESERVED_LEAD</v>
      </c>
      <c r="C241" s="51" t="str">
        <f>Lead!B8</f>
        <v>3FBB8</v>
      </c>
      <c r="D241" s="23">
        <f>Lead!D8</f>
        <v>4294967295</v>
      </c>
      <c r="E241" s="21" t="str">
        <f t="shared" si="169"/>
        <v>FFFFFFFF</v>
      </c>
      <c r="F241" s="31">
        <f t="shared" si="170"/>
        <v>255</v>
      </c>
      <c r="G241" s="18">
        <f t="shared" si="171"/>
        <v>255</v>
      </c>
      <c r="H241" s="18">
        <f t="shared" si="172"/>
        <v>255</v>
      </c>
      <c r="I241" s="32">
        <f t="shared" si="173"/>
        <v>255</v>
      </c>
      <c r="J241" s="31" t="str">
        <f t="shared" si="174"/>
        <v>FF</v>
      </c>
      <c r="K241" s="18" t="str">
        <f t="shared" si="174"/>
        <v>FF</v>
      </c>
      <c r="L241" s="18" t="str">
        <f t="shared" si="174"/>
        <v>FF</v>
      </c>
      <c r="M241" s="32" t="str">
        <f t="shared" si="174"/>
        <v>FF</v>
      </c>
      <c r="N241" s="23" t="str">
        <f t="shared" si="175"/>
        <v>ÿ</v>
      </c>
      <c r="O241" s="18" t="str">
        <f t="shared" si="176"/>
        <v>ÿ</v>
      </c>
      <c r="P241" s="18" t="str">
        <f t="shared" si="177"/>
        <v>ÿ</v>
      </c>
      <c r="Q241" s="65" t="str">
        <f t="shared" si="178"/>
        <v>ÿ</v>
      </c>
      <c r="R241" s="2" t="str">
        <f t="shared" si="168"/>
        <v>ÿÿÿÿ</v>
      </c>
    </row>
    <row r="242" spans="1:18" x14ac:dyDescent="0.25">
      <c r="A242" s="47"/>
      <c r="B242" s="56" t="str">
        <f>Lead!C9</f>
        <v>DEFAULT_RESERVED_LEAD</v>
      </c>
      <c r="C242" s="52" t="str">
        <f>Lead!B9</f>
        <v>3FBBC</v>
      </c>
      <c r="D242" s="22">
        <f>Lead!D9</f>
        <v>4294967295</v>
      </c>
      <c r="E242" s="25" t="str">
        <f t="shared" si="169"/>
        <v>FFFFFFFF</v>
      </c>
      <c r="F242" s="29">
        <f t="shared" si="170"/>
        <v>255</v>
      </c>
      <c r="G242" s="19">
        <f t="shared" si="171"/>
        <v>255</v>
      </c>
      <c r="H242" s="19">
        <f t="shared" si="172"/>
        <v>255</v>
      </c>
      <c r="I242" s="30">
        <f t="shared" si="173"/>
        <v>255</v>
      </c>
      <c r="J242" s="29" t="str">
        <f t="shared" si="174"/>
        <v>FF</v>
      </c>
      <c r="K242" s="19" t="str">
        <f t="shared" si="174"/>
        <v>FF</v>
      </c>
      <c r="L242" s="19" t="str">
        <f t="shared" si="174"/>
        <v>FF</v>
      </c>
      <c r="M242" s="30" t="str">
        <f t="shared" si="174"/>
        <v>FF</v>
      </c>
      <c r="N242" s="22" t="str">
        <f t="shared" si="175"/>
        <v>ÿ</v>
      </c>
      <c r="O242" s="19" t="str">
        <f t="shared" si="176"/>
        <v>ÿ</v>
      </c>
      <c r="P242" s="19" t="str">
        <f t="shared" si="177"/>
        <v>ÿ</v>
      </c>
      <c r="Q242" s="61" t="str">
        <f t="shared" si="178"/>
        <v>ÿ</v>
      </c>
      <c r="R242" s="64" t="str">
        <f t="shared" si="168"/>
        <v>ÿÿÿÿ</v>
      </c>
    </row>
    <row r="243" spans="1:18" x14ac:dyDescent="0.25">
      <c r="A243" s="48"/>
      <c r="B243" s="55" t="str">
        <f>Lead!C10</f>
        <v>DEFAULT_RESERVED_LEAD</v>
      </c>
      <c r="C243" s="51" t="str">
        <f>Lead!B10</f>
        <v>3FBC0</v>
      </c>
      <c r="D243" s="23">
        <f>Lead!D10</f>
        <v>4294967295</v>
      </c>
      <c r="E243" s="21" t="str">
        <f t="shared" si="169"/>
        <v>FFFFFFFF</v>
      </c>
      <c r="F243" s="31">
        <f t="shared" si="170"/>
        <v>255</v>
      </c>
      <c r="G243" s="18">
        <f t="shared" si="171"/>
        <v>255</v>
      </c>
      <c r="H243" s="18">
        <f t="shared" si="172"/>
        <v>255</v>
      </c>
      <c r="I243" s="32">
        <f t="shared" si="173"/>
        <v>255</v>
      </c>
      <c r="J243" s="31" t="str">
        <f t="shared" si="174"/>
        <v>FF</v>
      </c>
      <c r="K243" s="18" t="str">
        <f t="shared" si="174"/>
        <v>FF</v>
      </c>
      <c r="L243" s="18" t="str">
        <f t="shared" si="174"/>
        <v>FF</v>
      </c>
      <c r="M243" s="32" t="str">
        <f t="shared" si="174"/>
        <v>FF</v>
      </c>
      <c r="N243" s="23" t="str">
        <f t="shared" si="175"/>
        <v>ÿ</v>
      </c>
      <c r="O243" s="18" t="str">
        <f t="shared" si="176"/>
        <v>ÿ</v>
      </c>
      <c r="P243" s="18" t="str">
        <f t="shared" si="177"/>
        <v>ÿ</v>
      </c>
      <c r="Q243" s="65" t="str">
        <f t="shared" si="178"/>
        <v>ÿ</v>
      </c>
      <c r="R243" s="2" t="str">
        <f t="shared" si="168"/>
        <v>ÿÿÿÿ</v>
      </c>
    </row>
    <row r="244" spans="1:18" x14ac:dyDescent="0.25">
      <c r="A244" s="47"/>
      <c r="B244" s="56" t="str">
        <f>Lead!C11</f>
        <v>DEFAULT_RESERVED_LEAD</v>
      </c>
      <c r="C244" s="52" t="str">
        <f>Lead!B11</f>
        <v>3FBC4</v>
      </c>
      <c r="D244" s="22">
        <f>Lead!D11</f>
        <v>4294967295</v>
      </c>
      <c r="E244" s="25" t="str">
        <f t="shared" si="169"/>
        <v>FFFFFFFF</v>
      </c>
      <c r="F244" s="29">
        <f t="shared" si="170"/>
        <v>255</v>
      </c>
      <c r="G244" s="19">
        <f t="shared" si="171"/>
        <v>255</v>
      </c>
      <c r="H244" s="19">
        <f t="shared" si="172"/>
        <v>255</v>
      </c>
      <c r="I244" s="30">
        <f t="shared" si="173"/>
        <v>255</v>
      </c>
      <c r="J244" s="29" t="str">
        <f t="shared" si="174"/>
        <v>FF</v>
      </c>
      <c r="K244" s="19" t="str">
        <f t="shared" si="174"/>
        <v>FF</v>
      </c>
      <c r="L244" s="19" t="str">
        <f t="shared" si="174"/>
        <v>FF</v>
      </c>
      <c r="M244" s="30" t="str">
        <f t="shared" si="174"/>
        <v>FF</v>
      </c>
      <c r="N244" s="22" t="str">
        <f t="shared" si="175"/>
        <v>ÿ</v>
      </c>
      <c r="O244" s="19" t="str">
        <f t="shared" si="176"/>
        <v>ÿ</v>
      </c>
      <c r="P244" s="19" t="str">
        <f t="shared" si="177"/>
        <v>ÿ</v>
      </c>
      <c r="Q244" s="61" t="str">
        <f t="shared" si="178"/>
        <v>ÿ</v>
      </c>
      <c r="R244" s="64" t="str">
        <f t="shared" si="168"/>
        <v>ÿÿÿÿ</v>
      </c>
    </row>
    <row r="245" spans="1:18" x14ac:dyDescent="0.25">
      <c r="A245" s="48"/>
      <c r="B245" s="55" t="str">
        <f>Lead!C12</f>
        <v>DEFAULT_RESERVED_LEAD</v>
      </c>
      <c r="C245" s="51" t="str">
        <f>Lead!B12</f>
        <v>3FBC8</v>
      </c>
      <c r="D245" s="23">
        <f>Lead!D12</f>
        <v>4294967295</v>
      </c>
      <c r="E245" s="21" t="str">
        <f t="shared" si="169"/>
        <v>FFFFFFFF</v>
      </c>
      <c r="F245" s="31">
        <f t="shared" si="170"/>
        <v>255</v>
      </c>
      <c r="G245" s="18">
        <f t="shared" si="171"/>
        <v>255</v>
      </c>
      <c r="H245" s="18">
        <f t="shared" si="172"/>
        <v>255</v>
      </c>
      <c r="I245" s="32">
        <f t="shared" si="173"/>
        <v>255</v>
      </c>
      <c r="J245" s="31" t="str">
        <f t="shared" si="174"/>
        <v>FF</v>
      </c>
      <c r="K245" s="18" t="str">
        <f t="shared" si="174"/>
        <v>FF</v>
      </c>
      <c r="L245" s="18" t="str">
        <f t="shared" si="174"/>
        <v>FF</v>
      </c>
      <c r="M245" s="32" t="str">
        <f t="shared" si="174"/>
        <v>FF</v>
      </c>
      <c r="N245" s="23" t="str">
        <f t="shared" si="175"/>
        <v>ÿ</v>
      </c>
      <c r="O245" s="18" t="str">
        <f t="shared" si="176"/>
        <v>ÿ</v>
      </c>
      <c r="P245" s="18" t="str">
        <f t="shared" si="177"/>
        <v>ÿ</v>
      </c>
      <c r="Q245" s="65" t="str">
        <f t="shared" si="178"/>
        <v>ÿ</v>
      </c>
      <c r="R245" s="2" t="str">
        <f t="shared" si="168"/>
        <v>ÿÿÿÿ</v>
      </c>
    </row>
    <row r="246" spans="1:18" x14ac:dyDescent="0.25">
      <c r="A246" s="47"/>
      <c r="B246" s="56" t="str">
        <f>Lead!C13</f>
        <v>DEFAULT_RESERVED_LEAD</v>
      </c>
      <c r="C246" s="52" t="str">
        <f>Lead!B13</f>
        <v>3FBCC</v>
      </c>
      <c r="D246" s="22">
        <f>Lead!D13</f>
        <v>4294967295</v>
      </c>
      <c r="E246" s="25" t="str">
        <f t="shared" si="169"/>
        <v>FFFFFFFF</v>
      </c>
      <c r="F246" s="29">
        <f t="shared" ref="F246:F266" si="179">IF(D246 &gt;= 0,TRUNC(D246/(2^24)),TRUNC((D246 + 2^32)/(2^24)))</f>
        <v>255</v>
      </c>
      <c r="G246" s="19">
        <f t="shared" ref="G246:G266" si="180">IF(D246&gt;=0,TRUNC((D246-(F246*2^24))/(2^16)),TRUNC(((D246+2^32)-(F246*2^24))/(2^16)))</f>
        <v>255</v>
      </c>
      <c r="H246" s="19">
        <f t="shared" ref="H246:H266" si="181">IF(D246&gt;=0,TRUNC((D246-((F246*2^24)+(G246*2^16)))/2^8),TRUNC(((D246 + 2^32)-((F246*2^24)+(G246*2^16)))/2^8))</f>
        <v>255</v>
      </c>
      <c r="I246" s="30">
        <f t="shared" ref="I246:I266" si="182">IF(D246&gt;=0,TRUNC((D246-((F246*2^24)+(G246*2^16)+(H246*2^8)))),TRUNC(((D246+2^32)-((F246*2^24)+(G246*2^16)+(H246*2^8)))))</f>
        <v>255</v>
      </c>
      <c r="J246" s="29" t="str">
        <f t="shared" ref="J246:J266" si="183">DEC2HEX(F246)</f>
        <v>FF</v>
      </c>
      <c r="K246" s="19" t="str">
        <f t="shared" ref="K246:K266" si="184">DEC2HEX(G246)</f>
        <v>FF</v>
      </c>
      <c r="L246" s="19" t="str">
        <f t="shared" ref="L246:L266" si="185">DEC2HEX(H246)</f>
        <v>FF</v>
      </c>
      <c r="M246" s="30" t="str">
        <f t="shared" ref="M246:M266" si="186">DEC2HEX(I246)</f>
        <v>FF</v>
      </c>
      <c r="N246" s="22" t="str">
        <f t="shared" si="175"/>
        <v>ÿ</v>
      </c>
      <c r="O246" s="19" t="str">
        <f t="shared" si="176"/>
        <v>ÿ</v>
      </c>
      <c r="P246" s="19" t="str">
        <f t="shared" si="177"/>
        <v>ÿ</v>
      </c>
      <c r="Q246" s="61" t="str">
        <f t="shared" si="178"/>
        <v>ÿ</v>
      </c>
      <c r="R246" s="64" t="str">
        <f t="shared" si="168"/>
        <v>ÿÿÿÿ</v>
      </c>
    </row>
    <row r="247" spans="1:18" x14ac:dyDescent="0.25">
      <c r="A247" s="48"/>
      <c r="B247" s="55" t="str">
        <f>Lead!C14</f>
        <v>DEFAULT_RESERVED_LEAD</v>
      </c>
      <c r="C247" s="51" t="str">
        <f>Lead!B14</f>
        <v>3FBD0</v>
      </c>
      <c r="D247" s="23">
        <f>Lead!D14</f>
        <v>4294967295</v>
      </c>
      <c r="E247" s="21" t="str">
        <f t="shared" si="169"/>
        <v>FFFFFFFF</v>
      </c>
      <c r="F247" s="31">
        <f t="shared" si="179"/>
        <v>255</v>
      </c>
      <c r="G247" s="18">
        <f t="shared" si="180"/>
        <v>255</v>
      </c>
      <c r="H247" s="18">
        <f t="shared" si="181"/>
        <v>255</v>
      </c>
      <c r="I247" s="32">
        <f t="shared" si="182"/>
        <v>255</v>
      </c>
      <c r="J247" s="31" t="str">
        <f t="shared" si="183"/>
        <v>FF</v>
      </c>
      <c r="K247" s="18" t="str">
        <f t="shared" si="184"/>
        <v>FF</v>
      </c>
      <c r="L247" s="18" t="str">
        <f t="shared" si="185"/>
        <v>FF</v>
      </c>
      <c r="M247" s="32" t="str">
        <f t="shared" si="186"/>
        <v>FF</v>
      </c>
      <c r="N247" s="23" t="str">
        <f t="shared" si="175"/>
        <v>ÿ</v>
      </c>
      <c r="O247" s="18" t="str">
        <f t="shared" si="176"/>
        <v>ÿ</v>
      </c>
      <c r="P247" s="18" t="str">
        <f t="shared" si="177"/>
        <v>ÿ</v>
      </c>
      <c r="Q247" s="65" t="str">
        <f t="shared" si="178"/>
        <v>ÿ</v>
      </c>
      <c r="R247" s="2" t="str">
        <f t="shared" si="168"/>
        <v>ÿÿÿÿ</v>
      </c>
    </row>
    <row r="248" spans="1:18" x14ac:dyDescent="0.25">
      <c r="A248" s="47"/>
      <c r="B248" s="56" t="str">
        <f>Lead!C15</f>
        <v>DEFAULT_RESERVED_LEAD</v>
      </c>
      <c r="C248" s="52" t="str">
        <f>Lead!B15</f>
        <v>3FBD4</v>
      </c>
      <c r="D248" s="22">
        <f>Lead!D15</f>
        <v>4294967295</v>
      </c>
      <c r="E248" s="25" t="str">
        <f t="shared" si="169"/>
        <v>FFFFFFFF</v>
      </c>
      <c r="F248" s="29">
        <f t="shared" si="179"/>
        <v>255</v>
      </c>
      <c r="G248" s="19">
        <f t="shared" si="180"/>
        <v>255</v>
      </c>
      <c r="H248" s="19">
        <f t="shared" si="181"/>
        <v>255</v>
      </c>
      <c r="I248" s="30">
        <f t="shared" si="182"/>
        <v>255</v>
      </c>
      <c r="J248" s="29" t="str">
        <f t="shared" si="183"/>
        <v>FF</v>
      </c>
      <c r="K248" s="19" t="str">
        <f t="shared" si="184"/>
        <v>FF</v>
      </c>
      <c r="L248" s="19" t="str">
        <f t="shared" si="185"/>
        <v>FF</v>
      </c>
      <c r="M248" s="30" t="str">
        <f t="shared" si="186"/>
        <v>FF</v>
      </c>
      <c r="N248" s="22" t="str">
        <f t="shared" si="175"/>
        <v>ÿ</v>
      </c>
      <c r="O248" s="19" t="str">
        <f t="shared" si="176"/>
        <v>ÿ</v>
      </c>
      <c r="P248" s="19" t="str">
        <f t="shared" si="177"/>
        <v>ÿ</v>
      </c>
      <c r="Q248" s="61" t="str">
        <f t="shared" si="178"/>
        <v>ÿ</v>
      </c>
      <c r="R248" s="64" t="str">
        <f t="shared" si="168"/>
        <v>ÿÿÿÿ</v>
      </c>
    </row>
    <row r="249" spans="1:18" x14ac:dyDescent="0.25">
      <c r="A249" s="48"/>
      <c r="B249" s="55" t="str">
        <f>Lead!C16</f>
        <v>DEFAULT_RESERVED_LEAD</v>
      </c>
      <c r="C249" s="51" t="str">
        <f>Lead!B16</f>
        <v>3FBD8</v>
      </c>
      <c r="D249" s="23">
        <f>Lead!D16</f>
        <v>4294967295</v>
      </c>
      <c r="E249" s="21" t="str">
        <f t="shared" si="169"/>
        <v>FFFFFFFF</v>
      </c>
      <c r="F249" s="31">
        <f t="shared" si="179"/>
        <v>255</v>
      </c>
      <c r="G249" s="18">
        <f t="shared" si="180"/>
        <v>255</v>
      </c>
      <c r="H249" s="18">
        <f t="shared" si="181"/>
        <v>255</v>
      </c>
      <c r="I249" s="32">
        <f t="shared" si="182"/>
        <v>255</v>
      </c>
      <c r="J249" s="31" t="str">
        <f t="shared" si="183"/>
        <v>FF</v>
      </c>
      <c r="K249" s="18" t="str">
        <f t="shared" si="184"/>
        <v>FF</v>
      </c>
      <c r="L249" s="18" t="str">
        <f t="shared" si="185"/>
        <v>FF</v>
      </c>
      <c r="M249" s="32" t="str">
        <f t="shared" si="186"/>
        <v>FF</v>
      </c>
      <c r="N249" s="23" t="str">
        <f t="shared" si="175"/>
        <v>ÿ</v>
      </c>
      <c r="O249" s="18" t="str">
        <f t="shared" si="176"/>
        <v>ÿ</v>
      </c>
      <c r="P249" s="18" t="str">
        <f t="shared" si="177"/>
        <v>ÿ</v>
      </c>
      <c r="Q249" s="65" t="str">
        <f t="shared" si="178"/>
        <v>ÿ</v>
      </c>
      <c r="R249" s="2" t="str">
        <f t="shared" si="168"/>
        <v>ÿÿÿÿ</v>
      </c>
    </row>
    <row r="250" spans="1:18" x14ac:dyDescent="0.25">
      <c r="A250" s="47"/>
      <c r="B250" s="56" t="str">
        <f>Lead!C17</f>
        <v>DEFAULT_RESERVED_LEAD</v>
      </c>
      <c r="C250" s="52" t="str">
        <f>Lead!B17</f>
        <v>3FBDC</v>
      </c>
      <c r="D250" s="22">
        <f>Lead!D17</f>
        <v>4294967295</v>
      </c>
      <c r="E250" s="25" t="str">
        <f t="shared" si="169"/>
        <v>FFFFFFFF</v>
      </c>
      <c r="F250" s="29">
        <f t="shared" si="179"/>
        <v>255</v>
      </c>
      <c r="G250" s="19">
        <f t="shared" si="180"/>
        <v>255</v>
      </c>
      <c r="H250" s="19">
        <f t="shared" si="181"/>
        <v>255</v>
      </c>
      <c r="I250" s="30">
        <f t="shared" si="182"/>
        <v>255</v>
      </c>
      <c r="J250" s="29" t="str">
        <f t="shared" si="183"/>
        <v>FF</v>
      </c>
      <c r="K250" s="19" t="str">
        <f t="shared" si="184"/>
        <v>FF</v>
      </c>
      <c r="L250" s="19" t="str">
        <f t="shared" si="185"/>
        <v>FF</v>
      </c>
      <c r="M250" s="30" t="str">
        <f t="shared" si="186"/>
        <v>FF</v>
      </c>
      <c r="N250" s="22" t="str">
        <f t="shared" si="175"/>
        <v>ÿ</v>
      </c>
      <c r="O250" s="19" t="str">
        <f t="shared" si="176"/>
        <v>ÿ</v>
      </c>
      <c r="P250" s="19" t="str">
        <f t="shared" si="177"/>
        <v>ÿ</v>
      </c>
      <c r="Q250" s="61" t="str">
        <f t="shared" si="178"/>
        <v>ÿ</v>
      </c>
      <c r="R250" s="64" t="str">
        <f t="shared" si="168"/>
        <v>ÿÿÿÿ</v>
      </c>
    </row>
    <row r="251" spans="1:18" x14ac:dyDescent="0.25">
      <c r="A251" s="48"/>
      <c r="B251" s="55" t="str">
        <f>Lead!C18</f>
        <v>DEFAULT_RESERVED_LEAD</v>
      </c>
      <c r="C251" s="51" t="str">
        <f>Lead!B18</f>
        <v>3FBE0</v>
      </c>
      <c r="D251" s="23">
        <f>Lead!D18</f>
        <v>4294967295</v>
      </c>
      <c r="E251" s="21" t="str">
        <f t="shared" si="169"/>
        <v>FFFFFFFF</v>
      </c>
      <c r="F251" s="31">
        <f t="shared" si="179"/>
        <v>255</v>
      </c>
      <c r="G251" s="18">
        <f t="shared" si="180"/>
        <v>255</v>
      </c>
      <c r="H251" s="18">
        <f t="shared" si="181"/>
        <v>255</v>
      </c>
      <c r="I251" s="32">
        <f t="shared" si="182"/>
        <v>255</v>
      </c>
      <c r="J251" s="31" t="str">
        <f t="shared" si="183"/>
        <v>FF</v>
      </c>
      <c r="K251" s="18" t="str">
        <f t="shared" si="184"/>
        <v>FF</v>
      </c>
      <c r="L251" s="18" t="str">
        <f t="shared" si="185"/>
        <v>FF</v>
      </c>
      <c r="M251" s="32" t="str">
        <f t="shared" si="186"/>
        <v>FF</v>
      </c>
      <c r="N251" s="23" t="str">
        <f t="shared" si="175"/>
        <v>ÿ</v>
      </c>
      <c r="O251" s="18" t="str">
        <f t="shared" si="176"/>
        <v>ÿ</v>
      </c>
      <c r="P251" s="18" t="str">
        <f t="shared" si="177"/>
        <v>ÿ</v>
      </c>
      <c r="Q251" s="65" t="str">
        <f t="shared" si="178"/>
        <v>ÿ</v>
      </c>
      <c r="R251" s="2" t="str">
        <f t="shared" si="168"/>
        <v>ÿÿÿÿ</v>
      </c>
    </row>
    <row r="252" spans="1:18" x14ac:dyDescent="0.25">
      <c r="A252" s="47"/>
      <c r="B252" s="56" t="str">
        <f>Lead!C19</f>
        <v>DEFAULT_RESERVED_LEAD</v>
      </c>
      <c r="C252" s="52" t="str">
        <f>Lead!B19</f>
        <v>3FBE4</v>
      </c>
      <c r="D252" s="22">
        <f>Lead!D19</f>
        <v>4294967295</v>
      </c>
      <c r="E252" s="25" t="str">
        <f t="shared" si="169"/>
        <v>FFFFFFFF</v>
      </c>
      <c r="F252" s="29">
        <f t="shared" si="179"/>
        <v>255</v>
      </c>
      <c r="G252" s="19">
        <f t="shared" si="180"/>
        <v>255</v>
      </c>
      <c r="H252" s="19">
        <f t="shared" si="181"/>
        <v>255</v>
      </c>
      <c r="I252" s="30">
        <f t="shared" si="182"/>
        <v>255</v>
      </c>
      <c r="J252" s="29" t="str">
        <f t="shared" si="183"/>
        <v>FF</v>
      </c>
      <c r="K252" s="19" t="str">
        <f t="shared" si="184"/>
        <v>FF</v>
      </c>
      <c r="L252" s="19" t="str">
        <f t="shared" si="185"/>
        <v>FF</v>
      </c>
      <c r="M252" s="30" t="str">
        <f t="shared" si="186"/>
        <v>FF</v>
      </c>
      <c r="N252" s="22" t="str">
        <f t="shared" si="175"/>
        <v>ÿ</v>
      </c>
      <c r="O252" s="19" t="str">
        <f t="shared" si="176"/>
        <v>ÿ</v>
      </c>
      <c r="P252" s="19" t="str">
        <f t="shared" si="177"/>
        <v>ÿ</v>
      </c>
      <c r="Q252" s="61" t="str">
        <f t="shared" si="178"/>
        <v>ÿ</v>
      </c>
      <c r="R252" s="64" t="str">
        <f t="shared" si="168"/>
        <v>ÿÿÿÿ</v>
      </c>
    </row>
    <row r="253" spans="1:18" x14ac:dyDescent="0.25">
      <c r="A253" s="48"/>
      <c r="B253" s="55" t="str">
        <f>Lead!C20</f>
        <v>DEFAULT_RESERVED_LEAD</v>
      </c>
      <c r="C253" s="51" t="str">
        <f>Lead!B20</f>
        <v>3FBE8</v>
      </c>
      <c r="D253" s="23">
        <f>Lead!D20</f>
        <v>4294967295</v>
      </c>
      <c r="E253" s="21" t="str">
        <f t="shared" si="169"/>
        <v>FFFFFFFF</v>
      </c>
      <c r="F253" s="31">
        <f t="shared" si="179"/>
        <v>255</v>
      </c>
      <c r="G253" s="18">
        <f t="shared" si="180"/>
        <v>255</v>
      </c>
      <c r="H253" s="18">
        <f t="shared" si="181"/>
        <v>255</v>
      </c>
      <c r="I253" s="32">
        <f t="shared" si="182"/>
        <v>255</v>
      </c>
      <c r="J253" s="31" t="str">
        <f t="shared" si="183"/>
        <v>FF</v>
      </c>
      <c r="K253" s="18" t="str">
        <f t="shared" si="184"/>
        <v>FF</v>
      </c>
      <c r="L253" s="18" t="str">
        <f t="shared" si="185"/>
        <v>FF</v>
      </c>
      <c r="M253" s="32" t="str">
        <f t="shared" si="186"/>
        <v>FF</v>
      </c>
      <c r="N253" s="23" t="str">
        <f t="shared" si="175"/>
        <v>ÿ</v>
      </c>
      <c r="O253" s="18" t="str">
        <f t="shared" si="176"/>
        <v>ÿ</v>
      </c>
      <c r="P253" s="18" t="str">
        <f t="shared" si="177"/>
        <v>ÿ</v>
      </c>
      <c r="Q253" s="65" t="str">
        <f t="shared" si="178"/>
        <v>ÿ</v>
      </c>
      <c r="R253" s="2" t="str">
        <f t="shared" si="168"/>
        <v>ÿÿÿÿ</v>
      </c>
    </row>
    <row r="254" spans="1:18" x14ac:dyDescent="0.25">
      <c r="A254" s="47"/>
      <c r="B254" s="56" t="str">
        <f>Lead!C21</f>
        <v>DEFAULT_RESERVED_LEAD</v>
      </c>
      <c r="C254" s="52" t="str">
        <f>Lead!B21</f>
        <v>3FBEC</v>
      </c>
      <c r="D254" s="22">
        <f>Lead!D21</f>
        <v>4294967295</v>
      </c>
      <c r="E254" s="25" t="str">
        <f t="shared" si="169"/>
        <v>FFFFFFFF</v>
      </c>
      <c r="F254" s="29">
        <f t="shared" si="179"/>
        <v>255</v>
      </c>
      <c r="G254" s="19">
        <f t="shared" si="180"/>
        <v>255</v>
      </c>
      <c r="H254" s="19">
        <f t="shared" si="181"/>
        <v>255</v>
      </c>
      <c r="I254" s="30">
        <f t="shared" si="182"/>
        <v>255</v>
      </c>
      <c r="J254" s="29" t="str">
        <f t="shared" si="183"/>
        <v>FF</v>
      </c>
      <c r="K254" s="19" t="str">
        <f t="shared" si="184"/>
        <v>FF</v>
      </c>
      <c r="L254" s="19" t="str">
        <f t="shared" si="185"/>
        <v>FF</v>
      </c>
      <c r="M254" s="30" t="str">
        <f t="shared" si="186"/>
        <v>FF</v>
      </c>
      <c r="N254" s="22" t="str">
        <f t="shared" si="175"/>
        <v>ÿ</v>
      </c>
      <c r="O254" s="19" t="str">
        <f t="shared" si="176"/>
        <v>ÿ</v>
      </c>
      <c r="P254" s="19" t="str">
        <f t="shared" si="177"/>
        <v>ÿ</v>
      </c>
      <c r="Q254" s="61" t="str">
        <f t="shared" si="178"/>
        <v>ÿ</v>
      </c>
      <c r="R254" s="64" t="str">
        <f t="shared" si="168"/>
        <v>ÿÿÿÿ</v>
      </c>
    </row>
    <row r="255" spans="1:18" x14ac:dyDescent="0.25">
      <c r="A255" s="48"/>
      <c r="B255" s="55" t="str">
        <f>Lead!C22</f>
        <v>DEFAULT_RESERVED_LEAD</v>
      </c>
      <c r="C255" s="51" t="str">
        <f>Lead!B22</f>
        <v>3FBF0</v>
      </c>
      <c r="D255" s="23">
        <f>Lead!D22</f>
        <v>4294967295</v>
      </c>
      <c r="E255" s="21" t="str">
        <f t="shared" si="169"/>
        <v>FFFFFFFF</v>
      </c>
      <c r="F255" s="31">
        <f t="shared" si="179"/>
        <v>255</v>
      </c>
      <c r="G255" s="18">
        <f t="shared" si="180"/>
        <v>255</v>
      </c>
      <c r="H255" s="18">
        <f t="shared" si="181"/>
        <v>255</v>
      </c>
      <c r="I255" s="32">
        <f t="shared" si="182"/>
        <v>255</v>
      </c>
      <c r="J255" s="31" t="str">
        <f t="shared" si="183"/>
        <v>FF</v>
      </c>
      <c r="K255" s="18" t="str">
        <f t="shared" si="184"/>
        <v>FF</v>
      </c>
      <c r="L255" s="18" t="str">
        <f t="shared" si="185"/>
        <v>FF</v>
      </c>
      <c r="M255" s="32" t="str">
        <f t="shared" si="186"/>
        <v>FF</v>
      </c>
      <c r="N255" s="23" t="str">
        <f t="shared" si="175"/>
        <v>ÿ</v>
      </c>
      <c r="O255" s="18" t="str">
        <f t="shared" si="176"/>
        <v>ÿ</v>
      </c>
      <c r="P255" s="18" t="str">
        <f t="shared" si="177"/>
        <v>ÿ</v>
      </c>
      <c r="Q255" s="65" t="str">
        <f t="shared" si="178"/>
        <v>ÿ</v>
      </c>
      <c r="R255" s="2" t="str">
        <f t="shared" si="168"/>
        <v>ÿÿÿÿ</v>
      </c>
    </row>
    <row r="256" spans="1:18" x14ac:dyDescent="0.25">
      <c r="A256" s="47"/>
      <c r="B256" s="56" t="str">
        <f>Lead!C23</f>
        <v>DEFAULT_RESERVED_LEAD</v>
      </c>
      <c r="C256" s="52" t="str">
        <f>Lead!B23</f>
        <v>3FBF4</v>
      </c>
      <c r="D256" s="22">
        <f>Lead!D23</f>
        <v>4294967295</v>
      </c>
      <c r="E256" s="25" t="str">
        <f t="shared" si="169"/>
        <v>FFFFFFFF</v>
      </c>
      <c r="F256" s="29">
        <f t="shared" si="179"/>
        <v>255</v>
      </c>
      <c r="G256" s="19">
        <f t="shared" si="180"/>
        <v>255</v>
      </c>
      <c r="H256" s="19">
        <f t="shared" si="181"/>
        <v>255</v>
      </c>
      <c r="I256" s="30">
        <f t="shared" si="182"/>
        <v>255</v>
      </c>
      <c r="J256" s="29" t="str">
        <f t="shared" si="183"/>
        <v>FF</v>
      </c>
      <c r="K256" s="19" t="str">
        <f t="shared" si="184"/>
        <v>FF</v>
      </c>
      <c r="L256" s="19" t="str">
        <f t="shared" si="185"/>
        <v>FF</v>
      </c>
      <c r="M256" s="30" t="str">
        <f t="shared" si="186"/>
        <v>FF</v>
      </c>
      <c r="N256" s="22" t="str">
        <f t="shared" si="175"/>
        <v>ÿ</v>
      </c>
      <c r="O256" s="19" t="str">
        <f t="shared" si="176"/>
        <v>ÿ</v>
      </c>
      <c r="P256" s="19" t="str">
        <f t="shared" si="177"/>
        <v>ÿ</v>
      </c>
      <c r="Q256" s="61" t="str">
        <f t="shared" si="178"/>
        <v>ÿ</v>
      </c>
      <c r="R256" s="64" t="str">
        <f t="shared" si="168"/>
        <v>ÿÿÿÿ</v>
      </c>
    </row>
    <row r="257" spans="1:18" x14ac:dyDescent="0.25">
      <c r="A257" s="48"/>
      <c r="B257" s="55" t="str">
        <f>Lead!C24</f>
        <v>DEFAULT_RESERVED_LEAD</v>
      </c>
      <c r="C257" s="51" t="str">
        <f>Lead!B24</f>
        <v>3FBF8</v>
      </c>
      <c r="D257" s="23">
        <f>Lead!D24</f>
        <v>4294967295</v>
      </c>
      <c r="E257" s="21" t="str">
        <f t="shared" si="169"/>
        <v>FFFFFFFF</v>
      </c>
      <c r="F257" s="31">
        <f t="shared" si="179"/>
        <v>255</v>
      </c>
      <c r="G257" s="18">
        <f t="shared" si="180"/>
        <v>255</v>
      </c>
      <c r="H257" s="18">
        <f t="shared" si="181"/>
        <v>255</v>
      </c>
      <c r="I257" s="32">
        <f t="shared" si="182"/>
        <v>255</v>
      </c>
      <c r="J257" s="31" t="str">
        <f t="shared" si="183"/>
        <v>FF</v>
      </c>
      <c r="K257" s="18" t="str">
        <f t="shared" si="184"/>
        <v>FF</v>
      </c>
      <c r="L257" s="18" t="str">
        <f t="shared" si="185"/>
        <v>FF</v>
      </c>
      <c r="M257" s="32" t="str">
        <f t="shared" si="186"/>
        <v>FF</v>
      </c>
      <c r="N257" s="23" t="str">
        <f t="shared" si="175"/>
        <v>ÿ</v>
      </c>
      <c r="O257" s="18" t="str">
        <f t="shared" si="176"/>
        <v>ÿ</v>
      </c>
      <c r="P257" s="18" t="str">
        <f t="shared" si="177"/>
        <v>ÿ</v>
      </c>
      <c r="Q257" s="65" t="str">
        <f t="shared" si="178"/>
        <v>ÿ</v>
      </c>
      <c r="R257" s="2" t="str">
        <f t="shared" si="168"/>
        <v>ÿÿÿÿ</v>
      </c>
    </row>
    <row r="258" spans="1:18" x14ac:dyDescent="0.25">
      <c r="A258" s="47"/>
      <c r="B258" s="56" t="str">
        <f>Lead!C25</f>
        <v>DEFAULT_RESERVED_LEAD</v>
      </c>
      <c r="C258" s="52" t="str">
        <f>Lead!B25</f>
        <v>3FBFC</v>
      </c>
      <c r="D258" s="22">
        <f>Lead!D25</f>
        <v>4294967295</v>
      </c>
      <c r="E258" s="25" t="str">
        <f t="shared" si="169"/>
        <v>FFFFFFFF</v>
      </c>
      <c r="F258" s="29">
        <f t="shared" si="179"/>
        <v>255</v>
      </c>
      <c r="G258" s="19">
        <f t="shared" si="180"/>
        <v>255</v>
      </c>
      <c r="H258" s="19">
        <f t="shared" si="181"/>
        <v>255</v>
      </c>
      <c r="I258" s="30">
        <f t="shared" si="182"/>
        <v>255</v>
      </c>
      <c r="J258" s="29" t="str">
        <f t="shared" si="183"/>
        <v>FF</v>
      </c>
      <c r="K258" s="19" t="str">
        <f t="shared" si="184"/>
        <v>FF</v>
      </c>
      <c r="L258" s="19" t="str">
        <f t="shared" si="185"/>
        <v>FF</v>
      </c>
      <c r="M258" s="30" t="str">
        <f t="shared" si="186"/>
        <v>FF</v>
      </c>
      <c r="N258" s="22" t="str">
        <f t="shared" si="175"/>
        <v>ÿ</v>
      </c>
      <c r="O258" s="19" t="str">
        <f t="shared" si="176"/>
        <v>ÿ</v>
      </c>
      <c r="P258" s="19" t="str">
        <f t="shared" si="177"/>
        <v>ÿ</v>
      </c>
      <c r="Q258" s="61" t="str">
        <f t="shared" si="178"/>
        <v>ÿ</v>
      </c>
      <c r="R258" s="64" t="str">
        <f t="shared" si="168"/>
        <v>ÿÿÿÿ</v>
      </c>
    </row>
    <row r="259" spans="1:18" x14ac:dyDescent="0.25">
      <c r="A259" s="48"/>
      <c r="B259" s="55" t="str">
        <f>Lead!C26</f>
        <v>DEFAULT_RESERVED_LEAD</v>
      </c>
      <c r="C259" s="51" t="str">
        <f>Lead!B26</f>
        <v>3FC00</v>
      </c>
      <c r="D259" s="23">
        <f>Lead!D26</f>
        <v>4294967295</v>
      </c>
      <c r="E259" s="21" t="str">
        <f t="shared" si="169"/>
        <v>FFFFFFFF</v>
      </c>
      <c r="F259" s="31">
        <f t="shared" si="179"/>
        <v>255</v>
      </c>
      <c r="G259" s="18">
        <f t="shared" si="180"/>
        <v>255</v>
      </c>
      <c r="H259" s="18">
        <f t="shared" si="181"/>
        <v>255</v>
      </c>
      <c r="I259" s="32">
        <f t="shared" si="182"/>
        <v>255</v>
      </c>
      <c r="J259" s="31" t="str">
        <f t="shared" si="183"/>
        <v>FF</v>
      </c>
      <c r="K259" s="18" t="str">
        <f t="shared" si="184"/>
        <v>FF</v>
      </c>
      <c r="L259" s="18" t="str">
        <f t="shared" si="185"/>
        <v>FF</v>
      </c>
      <c r="M259" s="32" t="str">
        <f t="shared" si="186"/>
        <v>FF</v>
      </c>
      <c r="N259" s="23" t="str">
        <f t="shared" si="175"/>
        <v>ÿ</v>
      </c>
      <c r="O259" s="18" t="str">
        <f t="shared" si="176"/>
        <v>ÿ</v>
      </c>
      <c r="P259" s="18" t="str">
        <f t="shared" si="177"/>
        <v>ÿ</v>
      </c>
      <c r="Q259" s="65" t="str">
        <f t="shared" si="178"/>
        <v>ÿ</v>
      </c>
      <c r="R259" s="2" t="str">
        <f t="shared" si="168"/>
        <v>ÿÿÿÿ</v>
      </c>
    </row>
    <row r="260" spans="1:18" x14ac:dyDescent="0.25">
      <c r="A260" s="47"/>
      <c r="B260" s="56" t="str">
        <f>Lead!C27</f>
        <v>DEFAULT_RESERVED_LEAD</v>
      </c>
      <c r="C260" s="52" t="str">
        <f>Lead!B27</f>
        <v>3FC04</v>
      </c>
      <c r="D260" s="22">
        <f>Lead!D27</f>
        <v>4294967295</v>
      </c>
      <c r="E260" s="25" t="str">
        <f t="shared" si="169"/>
        <v>FFFFFFFF</v>
      </c>
      <c r="F260" s="29">
        <f t="shared" si="179"/>
        <v>255</v>
      </c>
      <c r="G260" s="19">
        <f t="shared" si="180"/>
        <v>255</v>
      </c>
      <c r="H260" s="19">
        <f t="shared" si="181"/>
        <v>255</v>
      </c>
      <c r="I260" s="30">
        <f t="shared" si="182"/>
        <v>255</v>
      </c>
      <c r="J260" s="29" t="str">
        <f t="shared" si="183"/>
        <v>FF</v>
      </c>
      <c r="K260" s="19" t="str">
        <f t="shared" si="184"/>
        <v>FF</v>
      </c>
      <c r="L260" s="19" t="str">
        <f t="shared" si="185"/>
        <v>FF</v>
      </c>
      <c r="M260" s="30" t="str">
        <f t="shared" si="186"/>
        <v>FF</v>
      </c>
      <c r="N260" s="22" t="str">
        <f t="shared" si="175"/>
        <v>ÿ</v>
      </c>
      <c r="O260" s="19" t="str">
        <f t="shared" si="176"/>
        <v>ÿ</v>
      </c>
      <c r="P260" s="19" t="str">
        <f t="shared" si="177"/>
        <v>ÿ</v>
      </c>
      <c r="Q260" s="61" t="str">
        <f t="shared" si="178"/>
        <v>ÿ</v>
      </c>
      <c r="R260" s="64" t="str">
        <f t="shared" si="168"/>
        <v>ÿÿÿÿ</v>
      </c>
    </row>
    <row r="261" spans="1:18" x14ac:dyDescent="0.25">
      <c r="A261" s="48"/>
      <c r="B261" s="55" t="str">
        <f>Lead!C28</f>
        <v>DEFAULT_RESERVED_LEAD</v>
      </c>
      <c r="C261" s="51" t="str">
        <f>Lead!B28</f>
        <v>3FC08</v>
      </c>
      <c r="D261" s="23">
        <f>Lead!D28</f>
        <v>4294967295</v>
      </c>
      <c r="E261" s="21" t="str">
        <f t="shared" si="169"/>
        <v>FFFFFFFF</v>
      </c>
      <c r="F261" s="31">
        <f t="shared" si="179"/>
        <v>255</v>
      </c>
      <c r="G261" s="18">
        <f t="shared" si="180"/>
        <v>255</v>
      </c>
      <c r="H261" s="18">
        <f t="shared" si="181"/>
        <v>255</v>
      </c>
      <c r="I261" s="32">
        <f t="shared" si="182"/>
        <v>255</v>
      </c>
      <c r="J261" s="31" t="str">
        <f t="shared" si="183"/>
        <v>FF</v>
      </c>
      <c r="K261" s="18" t="str">
        <f t="shared" si="184"/>
        <v>FF</v>
      </c>
      <c r="L261" s="18" t="str">
        <f t="shared" si="185"/>
        <v>FF</v>
      </c>
      <c r="M261" s="32" t="str">
        <f t="shared" si="186"/>
        <v>FF</v>
      </c>
      <c r="N261" s="23" t="str">
        <f t="shared" si="175"/>
        <v>ÿ</v>
      </c>
      <c r="O261" s="18" t="str">
        <f t="shared" si="176"/>
        <v>ÿ</v>
      </c>
      <c r="P261" s="18" t="str">
        <f t="shared" si="177"/>
        <v>ÿ</v>
      </c>
      <c r="Q261" s="65" t="str">
        <f t="shared" si="178"/>
        <v>ÿ</v>
      </c>
      <c r="R261" s="2" t="str">
        <f t="shared" si="168"/>
        <v>ÿÿÿÿ</v>
      </c>
    </row>
    <row r="262" spans="1:18" x14ac:dyDescent="0.25">
      <c r="A262" s="47"/>
      <c r="B262" s="56" t="str">
        <f>Lead!C29</f>
        <v>DEFAULT_RESERVED_LEAD</v>
      </c>
      <c r="C262" s="52" t="str">
        <f>Lead!B29</f>
        <v>3FC0C</v>
      </c>
      <c r="D262" s="22">
        <f>Lead!D29</f>
        <v>4294967295</v>
      </c>
      <c r="E262" s="25" t="str">
        <f t="shared" si="169"/>
        <v>FFFFFFFF</v>
      </c>
      <c r="F262" s="29">
        <f t="shared" si="179"/>
        <v>255</v>
      </c>
      <c r="G262" s="19">
        <f t="shared" si="180"/>
        <v>255</v>
      </c>
      <c r="H262" s="19">
        <f t="shared" si="181"/>
        <v>255</v>
      </c>
      <c r="I262" s="30">
        <f t="shared" si="182"/>
        <v>255</v>
      </c>
      <c r="J262" s="29" t="str">
        <f t="shared" si="183"/>
        <v>FF</v>
      </c>
      <c r="K262" s="19" t="str">
        <f t="shared" si="184"/>
        <v>FF</v>
      </c>
      <c r="L262" s="19" t="str">
        <f t="shared" si="185"/>
        <v>FF</v>
      </c>
      <c r="M262" s="30" t="str">
        <f t="shared" si="186"/>
        <v>FF</v>
      </c>
      <c r="N262" s="22" t="str">
        <f t="shared" si="175"/>
        <v>ÿ</v>
      </c>
      <c r="O262" s="19" t="str">
        <f t="shared" si="176"/>
        <v>ÿ</v>
      </c>
      <c r="P262" s="19" t="str">
        <f t="shared" si="177"/>
        <v>ÿ</v>
      </c>
      <c r="Q262" s="61" t="str">
        <f t="shared" si="178"/>
        <v>ÿ</v>
      </c>
      <c r="R262" s="64" t="str">
        <f t="shared" si="168"/>
        <v>ÿÿÿÿ</v>
      </c>
    </row>
    <row r="263" spans="1:18" x14ac:dyDescent="0.25">
      <c r="A263" s="48"/>
      <c r="B263" s="55" t="str">
        <f>Lead!C30</f>
        <v>DEFAULT_RESERVED_LEAD</v>
      </c>
      <c r="C263" s="51" t="str">
        <f>Lead!B30</f>
        <v>3FC10</v>
      </c>
      <c r="D263" s="23">
        <f>Lead!D30</f>
        <v>4294967295</v>
      </c>
      <c r="E263" s="21" t="str">
        <f t="shared" si="169"/>
        <v>FFFFFFFF</v>
      </c>
      <c r="F263" s="31">
        <f t="shared" si="179"/>
        <v>255</v>
      </c>
      <c r="G263" s="18">
        <f t="shared" si="180"/>
        <v>255</v>
      </c>
      <c r="H263" s="18">
        <f t="shared" si="181"/>
        <v>255</v>
      </c>
      <c r="I263" s="32">
        <f t="shared" si="182"/>
        <v>255</v>
      </c>
      <c r="J263" s="31" t="str">
        <f t="shared" si="183"/>
        <v>FF</v>
      </c>
      <c r="K263" s="18" t="str">
        <f t="shared" si="184"/>
        <v>FF</v>
      </c>
      <c r="L263" s="18" t="str">
        <f t="shared" si="185"/>
        <v>FF</v>
      </c>
      <c r="M263" s="32" t="str">
        <f t="shared" si="186"/>
        <v>FF</v>
      </c>
      <c r="N263" s="23" t="str">
        <f t="shared" si="175"/>
        <v>ÿ</v>
      </c>
      <c r="O263" s="18" t="str">
        <f t="shared" si="176"/>
        <v>ÿ</v>
      </c>
      <c r="P263" s="18" t="str">
        <f t="shared" si="177"/>
        <v>ÿ</v>
      </c>
      <c r="Q263" s="65" t="str">
        <f t="shared" si="178"/>
        <v>ÿ</v>
      </c>
      <c r="R263" s="2" t="str">
        <f t="shared" si="168"/>
        <v>ÿÿÿÿ</v>
      </c>
    </row>
    <row r="264" spans="1:18" x14ac:dyDescent="0.25">
      <c r="A264" s="47"/>
      <c r="B264" s="56" t="str">
        <f>Lead!C31</f>
        <v>DEFAULT_RESERVED_LEAD</v>
      </c>
      <c r="C264" s="52" t="str">
        <f>Lead!B31</f>
        <v>3FC14</v>
      </c>
      <c r="D264" s="22">
        <f>Lead!D31</f>
        <v>4294967295</v>
      </c>
      <c r="E264" s="25" t="str">
        <f t="shared" si="169"/>
        <v>FFFFFFFF</v>
      </c>
      <c r="F264" s="29">
        <f t="shared" si="179"/>
        <v>255</v>
      </c>
      <c r="G264" s="19">
        <f t="shared" si="180"/>
        <v>255</v>
      </c>
      <c r="H264" s="19">
        <f t="shared" si="181"/>
        <v>255</v>
      </c>
      <c r="I264" s="30">
        <f t="shared" si="182"/>
        <v>255</v>
      </c>
      <c r="J264" s="29" t="str">
        <f t="shared" si="183"/>
        <v>FF</v>
      </c>
      <c r="K264" s="19" t="str">
        <f t="shared" si="184"/>
        <v>FF</v>
      </c>
      <c r="L264" s="19" t="str">
        <f t="shared" si="185"/>
        <v>FF</v>
      </c>
      <c r="M264" s="30" t="str">
        <f t="shared" si="186"/>
        <v>FF</v>
      </c>
      <c r="N264" s="22" t="str">
        <f t="shared" si="175"/>
        <v>ÿ</v>
      </c>
      <c r="O264" s="19" t="str">
        <f t="shared" si="176"/>
        <v>ÿ</v>
      </c>
      <c r="P264" s="19" t="str">
        <f t="shared" si="177"/>
        <v>ÿ</v>
      </c>
      <c r="Q264" s="61" t="str">
        <f t="shared" si="178"/>
        <v>ÿ</v>
      </c>
      <c r="R264" s="64" t="str">
        <f t="shared" si="168"/>
        <v>ÿÿÿÿ</v>
      </c>
    </row>
    <row r="265" spans="1:18" x14ac:dyDescent="0.25">
      <c r="A265" s="48"/>
      <c r="B265" s="55" t="str">
        <f>Lead!C32</f>
        <v>DEFAULT_RESERVED_LEAD</v>
      </c>
      <c r="C265" s="51" t="str">
        <f>Lead!B32</f>
        <v>3FC18</v>
      </c>
      <c r="D265" s="23">
        <f>Lead!D32</f>
        <v>4294967295</v>
      </c>
      <c r="E265" s="21" t="str">
        <f t="shared" si="169"/>
        <v>FFFFFFFF</v>
      </c>
      <c r="F265" s="31">
        <f t="shared" si="179"/>
        <v>255</v>
      </c>
      <c r="G265" s="18">
        <f t="shared" si="180"/>
        <v>255</v>
      </c>
      <c r="H265" s="18">
        <f t="shared" si="181"/>
        <v>255</v>
      </c>
      <c r="I265" s="32">
        <f t="shared" si="182"/>
        <v>255</v>
      </c>
      <c r="J265" s="31" t="str">
        <f t="shared" si="183"/>
        <v>FF</v>
      </c>
      <c r="K265" s="18" t="str">
        <f t="shared" si="184"/>
        <v>FF</v>
      </c>
      <c r="L265" s="18" t="str">
        <f t="shared" si="185"/>
        <v>FF</v>
      </c>
      <c r="M265" s="32" t="str">
        <f t="shared" si="186"/>
        <v>FF</v>
      </c>
      <c r="N265" s="23" t="str">
        <f t="shared" si="175"/>
        <v>ÿ</v>
      </c>
      <c r="O265" s="18" t="str">
        <f t="shared" si="176"/>
        <v>ÿ</v>
      </c>
      <c r="P265" s="18" t="str">
        <f t="shared" si="177"/>
        <v>ÿ</v>
      </c>
      <c r="Q265" s="65" t="str">
        <f t="shared" si="178"/>
        <v>ÿ</v>
      </c>
      <c r="R265" s="2" t="str">
        <f t="shared" si="168"/>
        <v>ÿÿÿÿ</v>
      </c>
    </row>
    <row r="266" spans="1:18" ht="15.75" thickBot="1" x14ac:dyDescent="0.3">
      <c r="A266" s="47"/>
      <c r="B266" s="58" t="str">
        <f>Lead!C33</f>
        <v>DEFAULT_RESERVED_LEAD</v>
      </c>
      <c r="C266" s="68" t="str">
        <f>Lead!B33</f>
        <v>3FC1C</v>
      </c>
      <c r="D266" s="69">
        <f>Lead!D33</f>
        <v>4294967295</v>
      </c>
      <c r="E266" s="63" t="str">
        <f t="shared" si="169"/>
        <v>FFFFFFFF</v>
      </c>
      <c r="F266" s="62">
        <f t="shared" si="179"/>
        <v>255</v>
      </c>
      <c r="G266" s="70">
        <f t="shared" si="180"/>
        <v>255</v>
      </c>
      <c r="H266" s="70">
        <f t="shared" si="181"/>
        <v>255</v>
      </c>
      <c r="I266" s="71">
        <f t="shared" si="182"/>
        <v>255</v>
      </c>
      <c r="J266" s="62" t="str">
        <f t="shared" si="183"/>
        <v>FF</v>
      </c>
      <c r="K266" s="70" t="str">
        <f t="shared" si="184"/>
        <v>FF</v>
      </c>
      <c r="L266" s="70" t="str">
        <f t="shared" si="185"/>
        <v>FF</v>
      </c>
      <c r="M266" s="71" t="str">
        <f t="shared" si="186"/>
        <v>FF</v>
      </c>
      <c r="N266" s="69" t="str">
        <f t="shared" si="175"/>
        <v>ÿ</v>
      </c>
      <c r="O266" s="70" t="str">
        <f t="shared" si="176"/>
        <v>ÿ</v>
      </c>
      <c r="P266" s="70" t="str">
        <f t="shared" si="177"/>
        <v>ÿ</v>
      </c>
      <c r="Q266" s="72" t="str">
        <f t="shared" si="178"/>
        <v>ÿ</v>
      </c>
      <c r="R266" s="99" t="str">
        <f t="shared" si="168"/>
        <v>ÿÿÿÿ</v>
      </c>
    </row>
    <row r="267" spans="1:18" x14ac:dyDescent="0.25">
      <c r="A267" s="48"/>
      <c r="B267" s="57" t="str">
        <f>GearBox!C2</f>
        <v>DEFAULT_GearBoxModelNumber1</v>
      </c>
      <c r="C267" s="4" t="str">
        <f>GearBox!B2</f>
        <v>3FC20</v>
      </c>
      <c r="D267" s="37" t="str">
        <f>GearBox!D2</f>
        <v>NONE</v>
      </c>
      <c r="E267" s="38" t="s">
        <v>114</v>
      </c>
      <c r="F267" s="39" t="s">
        <v>114</v>
      </c>
      <c r="G267" s="40" t="s">
        <v>114</v>
      </c>
      <c r="H267" s="40" t="s">
        <v>114</v>
      </c>
      <c r="I267" s="41" t="s">
        <v>114</v>
      </c>
      <c r="J267" s="37" t="str">
        <f>MID($D267,1,1)</f>
        <v>N</v>
      </c>
      <c r="K267" s="40" t="str">
        <f>MID($D267,2,1)</f>
        <v>O</v>
      </c>
      <c r="L267" s="40" t="str">
        <f>MID($D267,3,1)</f>
        <v>N</v>
      </c>
      <c r="M267" s="66" t="str">
        <f>MID($D267,4,1)</f>
        <v>E</v>
      </c>
      <c r="N267" s="37" t="str">
        <f>MID($D267,1,1)</f>
        <v>N</v>
      </c>
      <c r="O267" s="40" t="str">
        <f>MID($D267,2,1)</f>
        <v>O</v>
      </c>
      <c r="P267" s="40" t="str">
        <f>MID($D267,3,1)</f>
        <v>N</v>
      </c>
      <c r="Q267" s="66" t="str">
        <f>MID($D267,4,1)</f>
        <v>E</v>
      </c>
      <c r="R267" s="2" t="str">
        <f t="shared" si="168"/>
        <v>NONE</v>
      </c>
    </row>
    <row r="268" spans="1:18" x14ac:dyDescent="0.25">
      <c r="A268" s="47"/>
      <c r="B268" s="56" t="str">
        <f>GearBox!C3</f>
        <v>DEFAULT_GearBoxModelNumber2</v>
      </c>
      <c r="C268" s="52" t="str">
        <f>GearBox!B3</f>
        <v>3FC24</v>
      </c>
      <c r="D268" s="22" t="str">
        <f>GearBox!D3</f>
        <v xml:space="preserve">    </v>
      </c>
      <c r="E268" s="25" t="s">
        <v>114</v>
      </c>
      <c r="F268" s="29" t="s">
        <v>114</v>
      </c>
      <c r="G268" s="19" t="s">
        <v>114</v>
      </c>
      <c r="H268" s="19" t="s">
        <v>114</v>
      </c>
      <c r="I268" s="30" t="s">
        <v>114</v>
      </c>
      <c r="J268" s="22" t="str">
        <f>MID($D268,1,1)</f>
        <v xml:space="preserve"> </v>
      </c>
      <c r="K268" s="19" t="str">
        <f>MID($D268,2,1)</f>
        <v xml:space="preserve"> </v>
      </c>
      <c r="L268" s="19" t="str">
        <f>MID($D268,3,1)</f>
        <v xml:space="preserve"> </v>
      </c>
      <c r="M268" s="61" t="str">
        <f>MID($D268,4,1)</f>
        <v xml:space="preserve"> </v>
      </c>
      <c r="N268" s="22" t="str">
        <f>MID($D268,1,1)</f>
        <v xml:space="preserve"> </v>
      </c>
      <c r="O268" s="19" t="str">
        <f>MID($D268,2,1)</f>
        <v xml:space="preserve"> </v>
      </c>
      <c r="P268" s="19" t="str">
        <f>MID($D268,3,1)</f>
        <v xml:space="preserve"> </v>
      </c>
      <c r="Q268" s="61" t="str">
        <f>MID($D268,4,1)</f>
        <v xml:space="preserve"> </v>
      </c>
      <c r="R268" s="64" t="str">
        <f t="shared" si="168"/>
        <v xml:space="preserve">    </v>
      </c>
    </row>
    <row r="269" spans="1:18" x14ac:dyDescent="0.25">
      <c r="A269" s="48"/>
      <c r="B269" s="55" t="str">
        <f>GearBox!C4</f>
        <v>DEFAULT_GearBoxModelNumber3</v>
      </c>
      <c r="C269" s="51" t="str">
        <f>GearBox!B4</f>
        <v>3FC28</v>
      </c>
      <c r="D269" s="23" t="str">
        <f>GearBox!D4</f>
        <v xml:space="preserve">    </v>
      </c>
      <c r="E269" s="21" t="s">
        <v>114</v>
      </c>
      <c r="F269" s="31" t="s">
        <v>114</v>
      </c>
      <c r="G269" s="18" t="s">
        <v>114</v>
      </c>
      <c r="H269" s="18" t="s">
        <v>114</v>
      </c>
      <c r="I269" s="32" t="s">
        <v>114</v>
      </c>
      <c r="J269" s="23" t="str">
        <f>MID($D269,1,1)</f>
        <v xml:space="preserve"> </v>
      </c>
      <c r="K269" s="18" t="str">
        <f>MID($D269,2,1)</f>
        <v xml:space="preserve"> </v>
      </c>
      <c r="L269" s="18" t="str">
        <f>MID($D269,3,1)</f>
        <v xml:space="preserve"> </v>
      </c>
      <c r="M269" s="65" t="str">
        <f>MID($D269,4,1)</f>
        <v xml:space="preserve"> </v>
      </c>
      <c r="N269" s="23" t="str">
        <f>MID($D269,1,1)</f>
        <v xml:space="preserve"> </v>
      </c>
      <c r="O269" s="18" t="str">
        <f>MID($D269,2,1)</f>
        <v xml:space="preserve"> </v>
      </c>
      <c r="P269" s="18" t="str">
        <f>MID($D269,3,1)</f>
        <v xml:space="preserve"> </v>
      </c>
      <c r="Q269" s="65" t="str">
        <f>MID($D269,4,1)</f>
        <v xml:space="preserve"> </v>
      </c>
      <c r="R269" s="2" t="str">
        <f t="shared" ref="R269:R330" si="187">_xlfn.CONCAT(N269,O269,P269,Q269)</f>
        <v xml:space="preserve">    </v>
      </c>
    </row>
    <row r="270" spans="1:18" x14ac:dyDescent="0.25">
      <c r="A270" s="47"/>
      <c r="B270" s="56" t="str">
        <f>GearBox!C5</f>
        <v>DEFAULT_GearRatiomRevPerRev</v>
      </c>
      <c r="C270" s="52" t="str">
        <f>GearBox!B5</f>
        <v>3FC2C</v>
      </c>
      <c r="D270" s="22">
        <f>GearBox!D5</f>
        <v>1000</v>
      </c>
      <c r="E270" s="25" t="str">
        <f t="shared" ref="E270:E298" si="188">IF(D270&gt;=0,DEC2HEX(D270),DEC2HEX(D270+ 2^32))</f>
        <v>3E8</v>
      </c>
      <c r="F270" s="29">
        <f t="shared" ref="F270:F276" si="189">IF(D270 &gt;= 0,TRUNC(D270/(2^24)),TRUNC((D270 + 2^32)/(2^24)))</f>
        <v>0</v>
      </c>
      <c r="G270" s="19">
        <f t="shared" ref="G270:G276" si="190">IF(D270&gt;=0,TRUNC((D270-(F270*2^24))/(2^16)),TRUNC(((D270+2^32)-(F270*2^24))/(2^16)))</f>
        <v>0</v>
      </c>
      <c r="H270" s="19">
        <f t="shared" ref="H270:H276" si="191">IF(D270&gt;=0,TRUNC((D270-((F270*2^24)+(G270*2^16)))/2^8),TRUNC(((D270 + 2^32)-((F270*2^24)+(G270*2^16)))/2^8))</f>
        <v>3</v>
      </c>
      <c r="I270" s="30">
        <f t="shared" ref="I270:I276" si="192">IF(D270&gt;=0,TRUNC((D270-((F270*2^24)+(G270*2^16)+(H270*2^8)))),TRUNC(((D270+2^32)-((F270*2^24)+(G270*2^16)+(H270*2^8)))))</f>
        <v>232</v>
      </c>
      <c r="J270" s="29" t="str">
        <f t="shared" ref="J270:M276" si="193">DEC2HEX(F270)</f>
        <v>0</v>
      </c>
      <c r="K270" s="19" t="str">
        <f t="shared" si="193"/>
        <v>0</v>
      </c>
      <c r="L270" s="19" t="str">
        <f t="shared" si="193"/>
        <v>3</v>
      </c>
      <c r="M270" s="30" t="str">
        <f t="shared" si="193"/>
        <v>E8</v>
      </c>
      <c r="N270" s="22" t="str">
        <f t="shared" ref="N270:N298" si="194">IF(F270&lt;&gt;0,CHAR(F270),"")</f>
        <v/>
      </c>
      <c r="O270" s="19" t="str">
        <f t="shared" ref="O270:O298" si="195">IF(G270&lt;&gt;0,CHAR(G270),"")</f>
        <v/>
      </c>
      <c r="P270" s="19" t="str">
        <f t="shared" ref="P270:P298" si="196">IF(H270&lt;&gt;0,CHAR(H270),"")</f>
        <v>_x0003_</v>
      </c>
      <c r="Q270" s="61" t="str">
        <f t="shared" ref="Q270:Q298" si="197">IF(I270&lt;&gt;0,CHAR(I270),"")</f>
        <v>è</v>
      </c>
      <c r="R270" s="64" t="str">
        <f t="shared" si="187"/>
        <v>_x0003_è</v>
      </c>
    </row>
    <row r="271" spans="1:18" x14ac:dyDescent="0.25">
      <c r="A271" s="48"/>
      <c r="B271" s="55" t="str">
        <f>GearBox!C6</f>
        <v>DEFAULT_GearBoxMaxVelocityRPM</v>
      </c>
      <c r="C271" s="51" t="str">
        <f>GearBox!B6</f>
        <v>3FC30</v>
      </c>
      <c r="D271" s="23">
        <f>GearBox!D6</f>
        <v>1</v>
      </c>
      <c r="E271" s="21" t="str">
        <f t="shared" si="188"/>
        <v>1</v>
      </c>
      <c r="F271" s="31">
        <f t="shared" si="189"/>
        <v>0</v>
      </c>
      <c r="G271" s="18">
        <f t="shared" si="190"/>
        <v>0</v>
      </c>
      <c r="H271" s="18">
        <f t="shared" si="191"/>
        <v>0</v>
      </c>
      <c r="I271" s="32">
        <f t="shared" si="192"/>
        <v>1</v>
      </c>
      <c r="J271" s="31" t="str">
        <f t="shared" si="193"/>
        <v>0</v>
      </c>
      <c r="K271" s="18" t="str">
        <f t="shared" si="193"/>
        <v>0</v>
      </c>
      <c r="L271" s="18" t="str">
        <f t="shared" si="193"/>
        <v>0</v>
      </c>
      <c r="M271" s="32" t="str">
        <f t="shared" si="193"/>
        <v>1</v>
      </c>
      <c r="N271" s="23" t="str">
        <f t="shared" si="194"/>
        <v/>
      </c>
      <c r="O271" s="18" t="str">
        <f t="shared" si="195"/>
        <v/>
      </c>
      <c r="P271" s="18" t="str">
        <f t="shared" si="196"/>
        <v/>
      </c>
      <c r="Q271" s="65" t="str">
        <f t="shared" si="197"/>
        <v>_x0001_</v>
      </c>
      <c r="R271" s="2" t="str">
        <f t="shared" si="187"/>
        <v>_x0001_</v>
      </c>
    </row>
    <row r="272" spans="1:18" x14ac:dyDescent="0.25">
      <c r="A272" s="47"/>
      <c r="B272" s="56" t="str">
        <f>GearBox!C7</f>
        <v>DEFAULT_RESERVED_GEARBOX</v>
      </c>
      <c r="C272" s="52" t="str">
        <f>GearBox!B7</f>
        <v>3FC34</v>
      </c>
      <c r="D272" s="22">
        <f>GearBox!D7</f>
        <v>4294967295</v>
      </c>
      <c r="E272" s="25" t="str">
        <f t="shared" si="188"/>
        <v>FFFFFFFF</v>
      </c>
      <c r="F272" s="29">
        <f t="shared" si="189"/>
        <v>255</v>
      </c>
      <c r="G272" s="19">
        <f t="shared" si="190"/>
        <v>255</v>
      </c>
      <c r="H272" s="19">
        <f t="shared" si="191"/>
        <v>255</v>
      </c>
      <c r="I272" s="30">
        <f t="shared" si="192"/>
        <v>255</v>
      </c>
      <c r="J272" s="29" t="str">
        <f t="shared" si="193"/>
        <v>FF</v>
      </c>
      <c r="K272" s="19" t="str">
        <f t="shared" si="193"/>
        <v>FF</v>
      </c>
      <c r="L272" s="19" t="str">
        <f t="shared" si="193"/>
        <v>FF</v>
      </c>
      <c r="M272" s="30" t="str">
        <f t="shared" si="193"/>
        <v>FF</v>
      </c>
      <c r="N272" s="22" t="str">
        <f t="shared" si="194"/>
        <v>ÿ</v>
      </c>
      <c r="O272" s="19" t="str">
        <f t="shared" si="195"/>
        <v>ÿ</v>
      </c>
      <c r="P272" s="19" t="str">
        <f t="shared" si="196"/>
        <v>ÿ</v>
      </c>
      <c r="Q272" s="61" t="str">
        <f t="shared" si="197"/>
        <v>ÿ</v>
      </c>
      <c r="R272" s="64" t="str">
        <f t="shared" si="187"/>
        <v>ÿÿÿÿ</v>
      </c>
    </row>
    <row r="273" spans="1:18" x14ac:dyDescent="0.25">
      <c r="A273" s="48"/>
      <c r="B273" s="55" t="str">
        <f>GearBox!C8</f>
        <v>DEFAULT_RESERVED_GEARBOX</v>
      </c>
      <c r="C273" s="51" t="str">
        <f>GearBox!B8</f>
        <v>3FC38</v>
      </c>
      <c r="D273" s="23">
        <f>GearBox!D8</f>
        <v>4294967295</v>
      </c>
      <c r="E273" s="21" t="str">
        <f t="shared" si="188"/>
        <v>FFFFFFFF</v>
      </c>
      <c r="F273" s="31">
        <f t="shared" si="189"/>
        <v>255</v>
      </c>
      <c r="G273" s="18">
        <f t="shared" si="190"/>
        <v>255</v>
      </c>
      <c r="H273" s="18">
        <f t="shared" si="191"/>
        <v>255</v>
      </c>
      <c r="I273" s="32">
        <f t="shared" si="192"/>
        <v>255</v>
      </c>
      <c r="J273" s="31" t="str">
        <f t="shared" si="193"/>
        <v>FF</v>
      </c>
      <c r="K273" s="18" t="str">
        <f t="shared" si="193"/>
        <v>FF</v>
      </c>
      <c r="L273" s="18" t="str">
        <f t="shared" si="193"/>
        <v>FF</v>
      </c>
      <c r="M273" s="32" t="str">
        <f t="shared" si="193"/>
        <v>FF</v>
      </c>
      <c r="N273" s="23" t="str">
        <f t="shared" si="194"/>
        <v>ÿ</v>
      </c>
      <c r="O273" s="18" t="str">
        <f t="shared" si="195"/>
        <v>ÿ</v>
      </c>
      <c r="P273" s="18" t="str">
        <f t="shared" si="196"/>
        <v>ÿ</v>
      </c>
      <c r="Q273" s="65" t="str">
        <f t="shared" si="197"/>
        <v>ÿ</v>
      </c>
      <c r="R273" s="2" t="str">
        <f t="shared" si="187"/>
        <v>ÿÿÿÿ</v>
      </c>
    </row>
    <row r="274" spans="1:18" x14ac:dyDescent="0.25">
      <c r="A274" s="47"/>
      <c r="B274" s="56" t="str">
        <f>GearBox!C9</f>
        <v>DEFAULT_RESERVED_GEARBOX</v>
      </c>
      <c r="C274" s="52" t="str">
        <f>GearBox!B9</f>
        <v>3FC3C</v>
      </c>
      <c r="D274" s="22">
        <f>GearBox!D9</f>
        <v>4294967295</v>
      </c>
      <c r="E274" s="25" t="str">
        <f t="shared" si="188"/>
        <v>FFFFFFFF</v>
      </c>
      <c r="F274" s="29">
        <f t="shared" si="189"/>
        <v>255</v>
      </c>
      <c r="G274" s="19">
        <f t="shared" si="190"/>
        <v>255</v>
      </c>
      <c r="H274" s="19">
        <f t="shared" si="191"/>
        <v>255</v>
      </c>
      <c r="I274" s="30">
        <f t="shared" si="192"/>
        <v>255</v>
      </c>
      <c r="J274" s="29" t="str">
        <f t="shared" si="193"/>
        <v>FF</v>
      </c>
      <c r="K274" s="19" t="str">
        <f t="shared" si="193"/>
        <v>FF</v>
      </c>
      <c r="L274" s="19" t="str">
        <f t="shared" si="193"/>
        <v>FF</v>
      </c>
      <c r="M274" s="30" t="str">
        <f t="shared" si="193"/>
        <v>FF</v>
      </c>
      <c r="N274" s="22" t="str">
        <f t="shared" si="194"/>
        <v>ÿ</v>
      </c>
      <c r="O274" s="19" t="str">
        <f t="shared" si="195"/>
        <v>ÿ</v>
      </c>
      <c r="P274" s="19" t="str">
        <f t="shared" si="196"/>
        <v>ÿ</v>
      </c>
      <c r="Q274" s="61" t="str">
        <f t="shared" si="197"/>
        <v>ÿ</v>
      </c>
      <c r="R274" s="64" t="str">
        <f t="shared" si="187"/>
        <v>ÿÿÿÿ</v>
      </c>
    </row>
    <row r="275" spans="1:18" x14ac:dyDescent="0.25">
      <c r="A275" s="48"/>
      <c r="B275" s="55" t="str">
        <f>GearBox!C10</f>
        <v>DEFAULT_RESERVED_GEARBOX</v>
      </c>
      <c r="C275" s="51" t="str">
        <f>GearBox!B10</f>
        <v>3FC40</v>
      </c>
      <c r="D275" s="23">
        <f>GearBox!D10</f>
        <v>4294967295</v>
      </c>
      <c r="E275" s="21" t="str">
        <f t="shared" si="188"/>
        <v>FFFFFFFF</v>
      </c>
      <c r="F275" s="31">
        <f t="shared" si="189"/>
        <v>255</v>
      </c>
      <c r="G275" s="18">
        <f t="shared" si="190"/>
        <v>255</v>
      </c>
      <c r="H275" s="18">
        <f t="shared" si="191"/>
        <v>255</v>
      </c>
      <c r="I275" s="32">
        <f t="shared" si="192"/>
        <v>255</v>
      </c>
      <c r="J275" s="31" t="str">
        <f t="shared" si="193"/>
        <v>FF</v>
      </c>
      <c r="K275" s="18" t="str">
        <f t="shared" si="193"/>
        <v>FF</v>
      </c>
      <c r="L275" s="18" t="str">
        <f t="shared" si="193"/>
        <v>FF</v>
      </c>
      <c r="M275" s="32" t="str">
        <f t="shared" si="193"/>
        <v>FF</v>
      </c>
      <c r="N275" s="23" t="str">
        <f t="shared" si="194"/>
        <v>ÿ</v>
      </c>
      <c r="O275" s="18" t="str">
        <f t="shared" si="195"/>
        <v>ÿ</v>
      </c>
      <c r="P275" s="18" t="str">
        <f t="shared" si="196"/>
        <v>ÿ</v>
      </c>
      <c r="Q275" s="65" t="str">
        <f t="shared" si="197"/>
        <v>ÿ</v>
      </c>
      <c r="R275" s="2" t="str">
        <f t="shared" si="187"/>
        <v>ÿÿÿÿ</v>
      </c>
    </row>
    <row r="276" spans="1:18" x14ac:dyDescent="0.25">
      <c r="A276" s="47"/>
      <c r="B276" s="56" t="str">
        <f>GearBox!C11</f>
        <v>DEFAULT_RESERVED_GEARBOX</v>
      </c>
      <c r="C276" s="52" t="str">
        <f>GearBox!B11</f>
        <v>3FC44</v>
      </c>
      <c r="D276" s="22">
        <f>GearBox!D11</f>
        <v>4294967295</v>
      </c>
      <c r="E276" s="25" t="str">
        <f t="shared" si="188"/>
        <v>FFFFFFFF</v>
      </c>
      <c r="F276" s="29">
        <f t="shared" si="189"/>
        <v>255</v>
      </c>
      <c r="G276" s="19">
        <f t="shared" si="190"/>
        <v>255</v>
      </c>
      <c r="H276" s="19">
        <f t="shared" si="191"/>
        <v>255</v>
      </c>
      <c r="I276" s="30">
        <f t="shared" si="192"/>
        <v>255</v>
      </c>
      <c r="J276" s="29" t="str">
        <f t="shared" si="193"/>
        <v>FF</v>
      </c>
      <c r="K276" s="19" t="str">
        <f t="shared" si="193"/>
        <v>FF</v>
      </c>
      <c r="L276" s="19" t="str">
        <f t="shared" si="193"/>
        <v>FF</v>
      </c>
      <c r="M276" s="30" t="str">
        <f t="shared" si="193"/>
        <v>FF</v>
      </c>
      <c r="N276" s="22" t="str">
        <f t="shared" si="194"/>
        <v>ÿ</v>
      </c>
      <c r="O276" s="19" t="str">
        <f t="shared" si="195"/>
        <v>ÿ</v>
      </c>
      <c r="P276" s="19" t="str">
        <f t="shared" si="196"/>
        <v>ÿ</v>
      </c>
      <c r="Q276" s="61" t="str">
        <f t="shared" si="197"/>
        <v>ÿ</v>
      </c>
      <c r="R276" s="64" t="str">
        <f t="shared" si="187"/>
        <v>ÿÿÿÿ</v>
      </c>
    </row>
    <row r="277" spans="1:18" x14ac:dyDescent="0.25">
      <c r="A277" s="48"/>
      <c r="B277" s="55" t="str">
        <f>GearBox!C12</f>
        <v>DEFAULT_RESERVED_GEARBOX</v>
      </c>
      <c r="C277" s="51" t="str">
        <f>GearBox!B12</f>
        <v>3FC48</v>
      </c>
      <c r="D277" s="23">
        <f>GearBox!D12</f>
        <v>4294967295</v>
      </c>
      <c r="E277" s="21" t="str">
        <f t="shared" si="188"/>
        <v>FFFFFFFF</v>
      </c>
      <c r="F277" s="31">
        <f t="shared" ref="F277:F284" si="198">IF(D277 &gt;= 0,TRUNC(D277/(2^24)),TRUNC((D277 + 2^32)/(2^24)))</f>
        <v>255</v>
      </c>
      <c r="G277" s="18">
        <f t="shared" ref="G277:G284" si="199">IF(D277&gt;=0,TRUNC((D277-(F277*2^24))/(2^16)),TRUNC(((D277+2^32)-(F277*2^24))/(2^16)))</f>
        <v>255</v>
      </c>
      <c r="H277" s="18">
        <f t="shared" ref="H277:H284" si="200">IF(D277&gt;=0,TRUNC((D277-((F277*2^24)+(G277*2^16)))/2^8),TRUNC(((D277 + 2^32)-((F277*2^24)+(G277*2^16)))/2^8))</f>
        <v>255</v>
      </c>
      <c r="I277" s="32">
        <f t="shared" ref="I277:I284" si="201">IF(D277&gt;=0,TRUNC((D277-((F277*2^24)+(G277*2^16)+(H277*2^8)))),TRUNC(((D277+2^32)-((F277*2^24)+(G277*2^16)+(H277*2^8)))))</f>
        <v>255</v>
      </c>
      <c r="J277" s="31" t="str">
        <f t="shared" ref="J277:J284" si="202">DEC2HEX(F277)</f>
        <v>FF</v>
      </c>
      <c r="K277" s="18" t="str">
        <f t="shared" ref="K277:K284" si="203">DEC2HEX(G277)</f>
        <v>FF</v>
      </c>
      <c r="L277" s="18" t="str">
        <f t="shared" ref="L277:L284" si="204">DEC2HEX(H277)</f>
        <v>FF</v>
      </c>
      <c r="M277" s="32" t="str">
        <f t="shared" ref="M277:M284" si="205">DEC2HEX(I277)</f>
        <v>FF</v>
      </c>
      <c r="N277" s="23" t="str">
        <f t="shared" si="194"/>
        <v>ÿ</v>
      </c>
      <c r="O277" s="18" t="str">
        <f t="shared" si="195"/>
        <v>ÿ</v>
      </c>
      <c r="P277" s="18" t="str">
        <f t="shared" si="196"/>
        <v>ÿ</v>
      </c>
      <c r="Q277" s="65" t="str">
        <f t="shared" si="197"/>
        <v>ÿ</v>
      </c>
      <c r="R277" s="2" t="str">
        <f t="shared" si="187"/>
        <v>ÿÿÿÿ</v>
      </c>
    </row>
    <row r="278" spans="1:18" x14ac:dyDescent="0.25">
      <c r="A278" s="47"/>
      <c r="B278" s="56" t="str">
        <f>GearBox!C13</f>
        <v>DEFAULT_RESERVED_GEARBOX</v>
      </c>
      <c r="C278" s="52" t="str">
        <f>GearBox!B13</f>
        <v>3FC4C</v>
      </c>
      <c r="D278" s="22">
        <f>GearBox!D13</f>
        <v>4294967295</v>
      </c>
      <c r="E278" s="25" t="str">
        <f t="shared" si="188"/>
        <v>FFFFFFFF</v>
      </c>
      <c r="F278" s="29">
        <f t="shared" si="198"/>
        <v>255</v>
      </c>
      <c r="G278" s="19">
        <f t="shared" si="199"/>
        <v>255</v>
      </c>
      <c r="H278" s="19">
        <f t="shared" si="200"/>
        <v>255</v>
      </c>
      <c r="I278" s="30">
        <f t="shared" si="201"/>
        <v>255</v>
      </c>
      <c r="J278" s="29" t="str">
        <f t="shared" si="202"/>
        <v>FF</v>
      </c>
      <c r="K278" s="19" t="str">
        <f t="shared" si="203"/>
        <v>FF</v>
      </c>
      <c r="L278" s="19" t="str">
        <f t="shared" si="204"/>
        <v>FF</v>
      </c>
      <c r="M278" s="30" t="str">
        <f t="shared" si="205"/>
        <v>FF</v>
      </c>
      <c r="N278" s="22" t="str">
        <f t="shared" si="194"/>
        <v>ÿ</v>
      </c>
      <c r="O278" s="19" t="str">
        <f t="shared" si="195"/>
        <v>ÿ</v>
      </c>
      <c r="P278" s="19" t="str">
        <f t="shared" si="196"/>
        <v>ÿ</v>
      </c>
      <c r="Q278" s="61" t="str">
        <f t="shared" si="197"/>
        <v>ÿ</v>
      </c>
      <c r="R278" s="64" t="str">
        <f t="shared" si="187"/>
        <v>ÿÿÿÿ</v>
      </c>
    </row>
    <row r="279" spans="1:18" x14ac:dyDescent="0.25">
      <c r="A279" s="48"/>
      <c r="B279" s="55" t="str">
        <f>GearBox!C14</f>
        <v>DEFAULT_RESERVED_GEARBOX</v>
      </c>
      <c r="C279" s="51" t="str">
        <f>GearBox!B14</f>
        <v>3FC50</v>
      </c>
      <c r="D279" s="23">
        <f>GearBox!D14</f>
        <v>4294967295</v>
      </c>
      <c r="E279" s="21" t="str">
        <f t="shared" si="188"/>
        <v>FFFFFFFF</v>
      </c>
      <c r="F279" s="31">
        <f t="shared" si="198"/>
        <v>255</v>
      </c>
      <c r="G279" s="18">
        <f t="shared" si="199"/>
        <v>255</v>
      </c>
      <c r="H279" s="18">
        <f t="shared" si="200"/>
        <v>255</v>
      </c>
      <c r="I279" s="32">
        <f t="shared" si="201"/>
        <v>255</v>
      </c>
      <c r="J279" s="31" t="str">
        <f t="shared" si="202"/>
        <v>FF</v>
      </c>
      <c r="K279" s="18" t="str">
        <f t="shared" si="203"/>
        <v>FF</v>
      </c>
      <c r="L279" s="18" t="str">
        <f t="shared" si="204"/>
        <v>FF</v>
      </c>
      <c r="M279" s="32" t="str">
        <f t="shared" si="205"/>
        <v>FF</v>
      </c>
      <c r="N279" s="23" t="str">
        <f t="shared" si="194"/>
        <v>ÿ</v>
      </c>
      <c r="O279" s="18" t="str">
        <f t="shared" si="195"/>
        <v>ÿ</v>
      </c>
      <c r="P279" s="18" t="str">
        <f t="shared" si="196"/>
        <v>ÿ</v>
      </c>
      <c r="Q279" s="65" t="str">
        <f t="shared" si="197"/>
        <v>ÿ</v>
      </c>
      <c r="R279" s="2" t="str">
        <f t="shared" si="187"/>
        <v>ÿÿÿÿ</v>
      </c>
    </row>
    <row r="280" spans="1:18" x14ac:dyDescent="0.25">
      <c r="A280" s="47"/>
      <c r="B280" s="56" t="str">
        <f>GearBox!C15</f>
        <v>DEFAULT_RESERVED_GEARBOX</v>
      </c>
      <c r="C280" s="52" t="str">
        <f>GearBox!B15</f>
        <v>3FC54</v>
      </c>
      <c r="D280" s="22">
        <f>GearBox!D15</f>
        <v>4294967295</v>
      </c>
      <c r="E280" s="25" t="str">
        <f t="shared" si="188"/>
        <v>FFFFFFFF</v>
      </c>
      <c r="F280" s="29">
        <f t="shared" si="198"/>
        <v>255</v>
      </c>
      <c r="G280" s="19">
        <f t="shared" si="199"/>
        <v>255</v>
      </c>
      <c r="H280" s="19">
        <f t="shared" si="200"/>
        <v>255</v>
      </c>
      <c r="I280" s="30">
        <f t="shared" si="201"/>
        <v>255</v>
      </c>
      <c r="J280" s="29" t="str">
        <f t="shared" si="202"/>
        <v>FF</v>
      </c>
      <c r="K280" s="19" t="str">
        <f t="shared" si="203"/>
        <v>FF</v>
      </c>
      <c r="L280" s="19" t="str">
        <f t="shared" si="204"/>
        <v>FF</v>
      </c>
      <c r="M280" s="30" t="str">
        <f t="shared" si="205"/>
        <v>FF</v>
      </c>
      <c r="N280" s="22" t="str">
        <f t="shared" si="194"/>
        <v>ÿ</v>
      </c>
      <c r="O280" s="19" t="str">
        <f t="shared" si="195"/>
        <v>ÿ</v>
      </c>
      <c r="P280" s="19" t="str">
        <f t="shared" si="196"/>
        <v>ÿ</v>
      </c>
      <c r="Q280" s="61" t="str">
        <f t="shared" si="197"/>
        <v>ÿ</v>
      </c>
      <c r="R280" s="64" t="str">
        <f t="shared" si="187"/>
        <v>ÿÿÿÿ</v>
      </c>
    </row>
    <row r="281" spans="1:18" x14ac:dyDescent="0.25">
      <c r="A281" s="48"/>
      <c r="B281" s="55" t="str">
        <f>GearBox!C16</f>
        <v>DEFAULT_RESERVED_GEARBOX</v>
      </c>
      <c r="C281" s="51" t="str">
        <f>GearBox!B16</f>
        <v>3FC58</v>
      </c>
      <c r="D281" s="23">
        <f>GearBox!D16</f>
        <v>4294967295</v>
      </c>
      <c r="E281" s="21" t="str">
        <f t="shared" si="188"/>
        <v>FFFFFFFF</v>
      </c>
      <c r="F281" s="31">
        <f t="shared" si="198"/>
        <v>255</v>
      </c>
      <c r="G281" s="18">
        <f t="shared" si="199"/>
        <v>255</v>
      </c>
      <c r="H281" s="18">
        <f t="shared" si="200"/>
        <v>255</v>
      </c>
      <c r="I281" s="32">
        <f t="shared" si="201"/>
        <v>255</v>
      </c>
      <c r="J281" s="31" t="str">
        <f t="shared" si="202"/>
        <v>FF</v>
      </c>
      <c r="K281" s="18" t="str">
        <f t="shared" si="203"/>
        <v>FF</v>
      </c>
      <c r="L281" s="18" t="str">
        <f t="shared" si="204"/>
        <v>FF</v>
      </c>
      <c r="M281" s="32" t="str">
        <f t="shared" si="205"/>
        <v>FF</v>
      </c>
      <c r="N281" s="23" t="str">
        <f t="shared" si="194"/>
        <v>ÿ</v>
      </c>
      <c r="O281" s="18" t="str">
        <f t="shared" si="195"/>
        <v>ÿ</v>
      </c>
      <c r="P281" s="18" t="str">
        <f t="shared" si="196"/>
        <v>ÿ</v>
      </c>
      <c r="Q281" s="65" t="str">
        <f t="shared" si="197"/>
        <v>ÿ</v>
      </c>
      <c r="R281" s="2" t="str">
        <f t="shared" si="187"/>
        <v>ÿÿÿÿ</v>
      </c>
    </row>
    <row r="282" spans="1:18" x14ac:dyDescent="0.25">
      <c r="A282" s="47"/>
      <c r="B282" s="56" t="str">
        <f>GearBox!C17</f>
        <v>DEFAULT_RESERVED_GEARBOX</v>
      </c>
      <c r="C282" s="52" t="str">
        <f>GearBox!B17</f>
        <v>3FC5C</v>
      </c>
      <c r="D282" s="22">
        <f>GearBox!D17</f>
        <v>4294967295</v>
      </c>
      <c r="E282" s="25" t="str">
        <f t="shared" si="188"/>
        <v>FFFFFFFF</v>
      </c>
      <c r="F282" s="29">
        <f t="shared" si="198"/>
        <v>255</v>
      </c>
      <c r="G282" s="19">
        <f t="shared" si="199"/>
        <v>255</v>
      </c>
      <c r="H282" s="19">
        <f t="shared" si="200"/>
        <v>255</v>
      </c>
      <c r="I282" s="30">
        <f t="shared" si="201"/>
        <v>255</v>
      </c>
      <c r="J282" s="29" t="str">
        <f t="shared" si="202"/>
        <v>FF</v>
      </c>
      <c r="K282" s="19" t="str">
        <f t="shared" si="203"/>
        <v>FF</v>
      </c>
      <c r="L282" s="19" t="str">
        <f t="shared" si="204"/>
        <v>FF</v>
      </c>
      <c r="M282" s="30" t="str">
        <f t="shared" si="205"/>
        <v>FF</v>
      </c>
      <c r="N282" s="22" t="str">
        <f t="shared" si="194"/>
        <v>ÿ</v>
      </c>
      <c r="O282" s="19" t="str">
        <f t="shared" si="195"/>
        <v>ÿ</v>
      </c>
      <c r="P282" s="19" t="str">
        <f t="shared" si="196"/>
        <v>ÿ</v>
      </c>
      <c r="Q282" s="61" t="str">
        <f t="shared" si="197"/>
        <v>ÿ</v>
      </c>
      <c r="R282" s="64" t="str">
        <f t="shared" si="187"/>
        <v>ÿÿÿÿ</v>
      </c>
    </row>
    <row r="283" spans="1:18" x14ac:dyDescent="0.25">
      <c r="A283" s="48"/>
      <c r="B283" s="55" t="str">
        <f>GearBox!C18</f>
        <v>DEFAULT_RESERVED_GEARBOX</v>
      </c>
      <c r="C283" s="51" t="str">
        <f>GearBox!B18</f>
        <v>3FC60</v>
      </c>
      <c r="D283" s="23">
        <f>GearBox!D18</f>
        <v>4294967295</v>
      </c>
      <c r="E283" s="21" t="str">
        <f t="shared" si="188"/>
        <v>FFFFFFFF</v>
      </c>
      <c r="F283" s="31">
        <f t="shared" si="198"/>
        <v>255</v>
      </c>
      <c r="G283" s="18">
        <f t="shared" si="199"/>
        <v>255</v>
      </c>
      <c r="H283" s="18">
        <f t="shared" si="200"/>
        <v>255</v>
      </c>
      <c r="I283" s="32">
        <f t="shared" si="201"/>
        <v>255</v>
      </c>
      <c r="J283" s="31" t="str">
        <f t="shared" si="202"/>
        <v>FF</v>
      </c>
      <c r="K283" s="18" t="str">
        <f t="shared" si="203"/>
        <v>FF</v>
      </c>
      <c r="L283" s="18" t="str">
        <f t="shared" si="204"/>
        <v>FF</v>
      </c>
      <c r="M283" s="32" t="str">
        <f t="shared" si="205"/>
        <v>FF</v>
      </c>
      <c r="N283" s="23" t="str">
        <f t="shared" si="194"/>
        <v>ÿ</v>
      </c>
      <c r="O283" s="18" t="str">
        <f t="shared" si="195"/>
        <v>ÿ</v>
      </c>
      <c r="P283" s="18" t="str">
        <f t="shared" si="196"/>
        <v>ÿ</v>
      </c>
      <c r="Q283" s="65" t="str">
        <f t="shared" si="197"/>
        <v>ÿ</v>
      </c>
      <c r="R283" s="2" t="str">
        <f t="shared" si="187"/>
        <v>ÿÿÿÿ</v>
      </c>
    </row>
    <row r="284" spans="1:18" x14ac:dyDescent="0.25">
      <c r="A284" s="47"/>
      <c r="B284" s="56" t="str">
        <f>GearBox!C19</f>
        <v>DEFAULT_RESERVED_GEARBOX</v>
      </c>
      <c r="C284" s="52" t="str">
        <f>GearBox!B19</f>
        <v>3FC64</v>
      </c>
      <c r="D284" s="22">
        <f>GearBox!D19</f>
        <v>4294967295</v>
      </c>
      <c r="E284" s="25" t="str">
        <f t="shared" si="188"/>
        <v>FFFFFFFF</v>
      </c>
      <c r="F284" s="29">
        <f t="shared" si="198"/>
        <v>255</v>
      </c>
      <c r="G284" s="19">
        <f t="shared" si="199"/>
        <v>255</v>
      </c>
      <c r="H284" s="19">
        <f t="shared" si="200"/>
        <v>255</v>
      </c>
      <c r="I284" s="30">
        <f t="shared" si="201"/>
        <v>255</v>
      </c>
      <c r="J284" s="29" t="str">
        <f t="shared" si="202"/>
        <v>FF</v>
      </c>
      <c r="K284" s="19" t="str">
        <f t="shared" si="203"/>
        <v>FF</v>
      </c>
      <c r="L284" s="19" t="str">
        <f t="shared" si="204"/>
        <v>FF</v>
      </c>
      <c r="M284" s="30" t="str">
        <f t="shared" si="205"/>
        <v>FF</v>
      </c>
      <c r="N284" s="22" t="str">
        <f t="shared" si="194"/>
        <v>ÿ</v>
      </c>
      <c r="O284" s="19" t="str">
        <f t="shared" si="195"/>
        <v>ÿ</v>
      </c>
      <c r="P284" s="19" t="str">
        <f t="shared" si="196"/>
        <v>ÿ</v>
      </c>
      <c r="Q284" s="61" t="str">
        <f t="shared" si="197"/>
        <v>ÿ</v>
      </c>
      <c r="R284" s="64" t="str">
        <f t="shared" si="187"/>
        <v>ÿÿÿÿ</v>
      </c>
    </row>
    <row r="285" spans="1:18" x14ac:dyDescent="0.25">
      <c r="A285" s="48"/>
      <c r="B285" s="55" t="str">
        <f>GearBox!C20</f>
        <v>DEFAULT_RESERVED_GEARBOX</v>
      </c>
      <c r="C285" s="51" t="str">
        <f>GearBox!B20</f>
        <v>3FC68</v>
      </c>
      <c r="D285" s="23">
        <f>GearBox!D20</f>
        <v>4294967295</v>
      </c>
      <c r="E285" s="21" t="str">
        <f t="shared" si="188"/>
        <v>FFFFFFFF</v>
      </c>
      <c r="F285" s="31">
        <f t="shared" ref="F285:F298" si="206">IF(D285 &gt;= 0,TRUNC(D285/(2^24)),TRUNC((D285 + 2^32)/(2^24)))</f>
        <v>255</v>
      </c>
      <c r="G285" s="18">
        <f t="shared" ref="G285:G298" si="207">IF(D285&gt;=0,TRUNC((D285-(F285*2^24))/(2^16)),TRUNC(((D285+2^32)-(F285*2^24))/(2^16)))</f>
        <v>255</v>
      </c>
      <c r="H285" s="18">
        <f t="shared" ref="H285:H298" si="208">IF(D285&gt;=0,TRUNC((D285-((F285*2^24)+(G285*2^16)))/2^8),TRUNC(((D285 + 2^32)-((F285*2^24)+(G285*2^16)))/2^8))</f>
        <v>255</v>
      </c>
      <c r="I285" s="32">
        <f t="shared" ref="I285:I298" si="209">IF(D285&gt;=0,TRUNC((D285-((F285*2^24)+(G285*2^16)+(H285*2^8)))),TRUNC(((D285+2^32)-((F285*2^24)+(G285*2^16)+(H285*2^8)))))</f>
        <v>255</v>
      </c>
      <c r="J285" s="31" t="str">
        <f t="shared" ref="J285:J298" si="210">DEC2HEX(F285)</f>
        <v>FF</v>
      </c>
      <c r="K285" s="18" t="str">
        <f t="shared" ref="K285:K298" si="211">DEC2HEX(G285)</f>
        <v>FF</v>
      </c>
      <c r="L285" s="18" t="str">
        <f t="shared" ref="L285:L298" si="212">DEC2HEX(H285)</f>
        <v>FF</v>
      </c>
      <c r="M285" s="32" t="str">
        <f t="shared" ref="M285:M298" si="213">DEC2HEX(I285)</f>
        <v>FF</v>
      </c>
      <c r="N285" s="23" t="str">
        <f t="shared" si="194"/>
        <v>ÿ</v>
      </c>
      <c r="O285" s="18" t="str">
        <f t="shared" si="195"/>
        <v>ÿ</v>
      </c>
      <c r="P285" s="18" t="str">
        <f t="shared" si="196"/>
        <v>ÿ</v>
      </c>
      <c r="Q285" s="65" t="str">
        <f t="shared" si="197"/>
        <v>ÿ</v>
      </c>
      <c r="R285" s="2" t="str">
        <f t="shared" si="187"/>
        <v>ÿÿÿÿ</v>
      </c>
    </row>
    <row r="286" spans="1:18" x14ac:dyDescent="0.25">
      <c r="A286" s="47"/>
      <c r="B286" s="56" t="str">
        <f>GearBox!C21</f>
        <v>DEFAULT_RESERVED_GEARBOX</v>
      </c>
      <c r="C286" s="52" t="str">
        <f>GearBox!B21</f>
        <v>3FC6C</v>
      </c>
      <c r="D286" s="22">
        <f>GearBox!D21</f>
        <v>4294967295</v>
      </c>
      <c r="E286" s="25" t="str">
        <f t="shared" si="188"/>
        <v>FFFFFFFF</v>
      </c>
      <c r="F286" s="29">
        <f t="shared" si="206"/>
        <v>255</v>
      </c>
      <c r="G286" s="19">
        <f t="shared" si="207"/>
        <v>255</v>
      </c>
      <c r="H286" s="19">
        <f t="shared" si="208"/>
        <v>255</v>
      </c>
      <c r="I286" s="30">
        <f t="shared" si="209"/>
        <v>255</v>
      </c>
      <c r="J286" s="29" t="str">
        <f t="shared" si="210"/>
        <v>FF</v>
      </c>
      <c r="K286" s="19" t="str">
        <f t="shared" si="211"/>
        <v>FF</v>
      </c>
      <c r="L286" s="19" t="str">
        <f t="shared" si="212"/>
        <v>FF</v>
      </c>
      <c r="M286" s="30" t="str">
        <f t="shared" si="213"/>
        <v>FF</v>
      </c>
      <c r="N286" s="22" t="str">
        <f t="shared" si="194"/>
        <v>ÿ</v>
      </c>
      <c r="O286" s="19" t="str">
        <f t="shared" si="195"/>
        <v>ÿ</v>
      </c>
      <c r="P286" s="19" t="str">
        <f t="shared" si="196"/>
        <v>ÿ</v>
      </c>
      <c r="Q286" s="61" t="str">
        <f t="shared" si="197"/>
        <v>ÿ</v>
      </c>
      <c r="R286" s="64" t="str">
        <f t="shared" si="187"/>
        <v>ÿÿÿÿ</v>
      </c>
    </row>
    <row r="287" spans="1:18" x14ac:dyDescent="0.25">
      <c r="A287" s="48"/>
      <c r="B287" s="55" t="str">
        <f>GearBox!C22</f>
        <v>DEFAULT_RESERVED_GEARBOX</v>
      </c>
      <c r="C287" s="51" t="str">
        <f>GearBox!B22</f>
        <v>3FC70</v>
      </c>
      <c r="D287" s="23">
        <f>GearBox!D22</f>
        <v>4294967295</v>
      </c>
      <c r="E287" s="21" t="str">
        <f t="shared" si="188"/>
        <v>FFFFFFFF</v>
      </c>
      <c r="F287" s="31">
        <f t="shared" si="206"/>
        <v>255</v>
      </c>
      <c r="G287" s="18">
        <f t="shared" si="207"/>
        <v>255</v>
      </c>
      <c r="H287" s="18">
        <f t="shared" si="208"/>
        <v>255</v>
      </c>
      <c r="I287" s="32">
        <f t="shared" si="209"/>
        <v>255</v>
      </c>
      <c r="J287" s="31" t="str">
        <f t="shared" si="210"/>
        <v>FF</v>
      </c>
      <c r="K287" s="18" t="str">
        <f t="shared" si="211"/>
        <v>FF</v>
      </c>
      <c r="L287" s="18" t="str">
        <f t="shared" si="212"/>
        <v>FF</v>
      </c>
      <c r="M287" s="32" t="str">
        <f t="shared" si="213"/>
        <v>FF</v>
      </c>
      <c r="N287" s="23" t="str">
        <f t="shared" si="194"/>
        <v>ÿ</v>
      </c>
      <c r="O287" s="18" t="str">
        <f t="shared" si="195"/>
        <v>ÿ</v>
      </c>
      <c r="P287" s="18" t="str">
        <f t="shared" si="196"/>
        <v>ÿ</v>
      </c>
      <c r="Q287" s="65" t="str">
        <f t="shared" si="197"/>
        <v>ÿ</v>
      </c>
      <c r="R287" s="2" t="str">
        <f t="shared" si="187"/>
        <v>ÿÿÿÿ</v>
      </c>
    </row>
    <row r="288" spans="1:18" x14ac:dyDescent="0.25">
      <c r="A288" s="47"/>
      <c r="B288" s="56" t="str">
        <f>GearBox!C23</f>
        <v>DEFAULT_RESERVED_GEARBOX</v>
      </c>
      <c r="C288" s="52" t="str">
        <f>GearBox!B23</f>
        <v>3FC74</v>
      </c>
      <c r="D288" s="22">
        <f>GearBox!D23</f>
        <v>4294967295</v>
      </c>
      <c r="E288" s="25" t="str">
        <f t="shared" si="188"/>
        <v>FFFFFFFF</v>
      </c>
      <c r="F288" s="29">
        <f t="shared" si="206"/>
        <v>255</v>
      </c>
      <c r="G288" s="19">
        <f t="shared" si="207"/>
        <v>255</v>
      </c>
      <c r="H288" s="19">
        <f t="shared" si="208"/>
        <v>255</v>
      </c>
      <c r="I288" s="30">
        <f t="shared" si="209"/>
        <v>255</v>
      </c>
      <c r="J288" s="29" t="str">
        <f t="shared" si="210"/>
        <v>FF</v>
      </c>
      <c r="K288" s="19" t="str">
        <f t="shared" si="211"/>
        <v>FF</v>
      </c>
      <c r="L288" s="19" t="str">
        <f t="shared" si="212"/>
        <v>FF</v>
      </c>
      <c r="M288" s="30" t="str">
        <f t="shared" si="213"/>
        <v>FF</v>
      </c>
      <c r="N288" s="22" t="str">
        <f t="shared" si="194"/>
        <v>ÿ</v>
      </c>
      <c r="O288" s="19" t="str">
        <f t="shared" si="195"/>
        <v>ÿ</v>
      </c>
      <c r="P288" s="19" t="str">
        <f t="shared" si="196"/>
        <v>ÿ</v>
      </c>
      <c r="Q288" s="61" t="str">
        <f t="shared" si="197"/>
        <v>ÿ</v>
      </c>
      <c r="R288" s="64" t="str">
        <f t="shared" si="187"/>
        <v>ÿÿÿÿ</v>
      </c>
    </row>
    <row r="289" spans="1:18" x14ac:dyDescent="0.25">
      <c r="A289" s="48"/>
      <c r="B289" s="55" t="str">
        <f>GearBox!C24</f>
        <v>DEFAULT_RESERVED_GEARBOX</v>
      </c>
      <c r="C289" s="51" t="str">
        <f>GearBox!B24</f>
        <v>3FC78</v>
      </c>
      <c r="D289" s="23">
        <f>GearBox!D24</f>
        <v>4294967295</v>
      </c>
      <c r="E289" s="21" t="str">
        <f t="shared" si="188"/>
        <v>FFFFFFFF</v>
      </c>
      <c r="F289" s="31">
        <f t="shared" si="206"/>
        <v>255</v>
      </c>
      <c r="G289" s="18">
        <f t="shared" si="207"/>
        <v>255</v>
      </c>
      <c r="H289" s="18">
        <f t="shared" si="208"/>
        <v>255</v>
      </c>
      <c r="I289" s="32">
        <f t="shared" si="209"/>
        <v>255</v>
      </c>
      <c r="J289" s="31" t="str">
        <f t="shared" si="210"/>
        <v>FF</v>
      </c>
      <c r="K289" s="18" t="str">
        <f t="shared" si="211"/>
        <v>FF</v>
      </c>
      <c r="L289" s="18" t="str">
        <f t="shared" si="212"/>
        <v>FF</v>
      </c>
      <c r="M289" s="32" t="str">
        <f t="shared" si="213"/>
        <v>FF</v>
      </c>
      <c r="N289" s="23" t="str">
        <f t="shared" si="194"/>
        <v>ÿ</v>
      </c>
      <c r="O289" s="18" t="str">
        <f t="shared" si="195"/>
        <v>ÿ</v>
      </c>
      <c r="P289" s="18" t="str">
        <f t="shared" si="196"/>
        <v>ÿ</v>
      </c>
      <c r="Q289" s="65" t="str">
        <f t="shared" si="197"/>
        <v>ÿ</v>
      </c>
      <c r="R289" s="2" t="str">
        <f t="shared" si="187"/>
        <v>ÿÿÿÿ</v>
      </c>
    </row>
    <row r="290" spans="1:18" x14ac:dyDescent="0.25">
      <c r="A290" s="47"/>
      <c r="B290" s="56" t="str">
        <f>GearBox!C25</f>
        <v>DEFAULT_RESERVED_GEARBOX</v>
      </c>
      <c r="C290" s="52" t="str">
        <f>GearBox!B25</f>
        <v>3FC7C</v>
      </c>
      <c r="D290" s="22">
        <f>GearBox!D25</f>
        <v>4294967295</v>
      </c>
      <c r="E290" s="25" t="str">
        <f t="shared" si="188"/>
        <v>FFFFFFFF</v>
      </c>
      <c r="F290" s="29">
        <f t="shared" si="206"/>
        <v>255</v>
      </c>
      <c r="G290" s="19">
        <f t="shared" si="207"/>
        <v>255</v>
      </c>
      <c r="H290" s="19">
        <f t="shared" si="208"/>
        <v>255</v>
      </c>
      <c r="I290" s="30">
        <f t="shared" si="209"/>
        <v>255</v>
      </c>
      <c r="J290" s="29" t="str">
        <f t="shared" si="210"/>
        <v>FF</v>
      </c>
      <c r="K290" s="19" t="str">
        <f t="shared" si="211"/>
        <v>FF</v>
      </c>
      <c r="L290" s="19" t="str">
        <f t="shared" si="212"/>
        <v>FF</v>
      </c>
      <c r="M290" s="30" t="str">
        <f t="shared" si="213"/>
        <v>FF</v>
      </c>
      <c r="N290" s="22" t="str">
        <f t="shared" si="194"/>
        <v>ÿ</v>
      </c>
      <c r="O290" s="19" t="str">
        <f t="shared" si="195"/>
        <v>ÿ</v>
      </c>
      <c r="P290" s="19" t="str">
        <f t="shared" si="196"/>
        <v>ÿ</v>
      </c>
      <c r="Q290" s="61" t="str">
        <f t="shared" si="197"/>
        <v>ÿ</v>
      </c>
      <c r="R290" s="64" t="str">
        <f t="shared" si="187"/>
        <v>ÿÿÿÿ</v>
      </c>
    </row>
    <row r="291" spans="1:18" x14ac:dyDescent="0.25">
      <c r="A291" s="48"/>
      <c r="B291" s="55" t="str">
        <f>GearBox!C26</f>
        <v>DEFAULT_RESERVED_GEARBOX</v>
      </c>
      <c r="C291" s="51" t="str">
        <f>GearBox!B26</f>
        <v>3FC80</v>
      </c>
      <c r="D291" s="23">
        <f>GearBox!D26</f>
        <v>4294967295</v>
      </c>
      <c r="E291" s="21" t="str">
        <f t="shared" si="188"/>
        <v>FFFFFFFF</v>
      </c>
      <c r="F291" s="31">
        <f t="shared" si="206"/>
        <v>255</v>
      </c>
      <c r="G291" s="18">
        <f t="shared" si="207"/>
        <v>255</v>
      </c>
      <c r="H291" s="18">
        <f t="shared" si="208"/>
        <v>255</v>
      </c>
      <c r="I291" s="32">
        <f t="shared" si="209"/>
        <v>255</v>
      </c>
      <c r="J291" s="31" t="str">
        <f t="shared" si="210"/>
        <v>FF</v>
      </c>
      <c r="K291" s="18" t="str">
        <f t="shared" si="211"/>
        <v>FF</v>
      </c>
      <c r="L291" s="18" t="str">
        <f t="shared" si="212"/>
        <v>FF</v>
      </c>
      <c r="M291" s="32" t="str">
        <f t="shared" si="213"/>
        <v>FF</v>
      </c>
      <c r="N291" s="23" t="str">
        <f t="shared" si="194"/>
        <v>ÿ</v>
      </c>
      <c r="O291" s="18" t="str">
        <f t="shared" si="195"/>
        <v>ÿ</v>
      </c>
      <c r="P291" s="18" t="str">
        <f t="shared" si="196"/>
        <v>ÿ</v>
      </c>
      <c r="Q291" s="65" t="str">
        <f t="shared" si="197"/>
        <v>ÿ</v>
      </c>
      <c r="R291" s="2" t="str">
        <f t="shared" si="187"/>
        <v>ÿÿÿÿ</v>
      </c>
    </row>
    <row r="292" spans="1:18" x14ac:dyDescent="0.25">
      <c r="A292" s="47"/>
      <c r="B292" s="56" t="str">
        <f>GearBox!C27</f>
        <v>DEFAULT_RESERVED_GEARBOX</v>
      </c>
      <c r="C292" s="52" t="str">
        <f>GearBox!B27</f>
        <v>3FC84</v>
      </c>
      <c r="D292" s="22">
        <f>GearBox!D27</f>
        <v>4294967295</v>
      </c>
      <c r="E292" s="25" t="str">
        <f t="shared" si="188"/>
        <v>FFFFFFFF</v>
      </c>
      <c r="F292" s="29">
        <f t="shared" si="206"/>
        <v>255</v>
      </c>
      <c r="G292" s="19">
        <f t="shared" si="207"/>
        <v>255</v>
      </c>
      <c r="H292" s="19">
        <f t="shared" si="208"/>
        <v>255</v>
      </c>
      <c r="I292" s="30">
        <f t="shared" si="209"/>
        <v>255</v>
      </c>
      <c r="J292" s="29" t="str">
        <f t="shared" si="210"/>
        <v>FF</v>
      </c>
      <c r="K292" s="19" t="str">
        <f t="shared" si="211"/>
        <v>FF</v>
      </c>
      <c r="L292" s="19" t="str">
        <f t="shared" si="212"/>
        <v>FF</v>
      </c>
      <c r="M292" s="30" t="str">
        <f t="shared" si="213"/>
        <v>FF</v>
      </c>
      <c r="N292" s="22" t="str">
        <f t="shared" si="194"/>
        <v>ÿ</v>
      </c>
      <c r="O292" s="19" t="str">
        <f t="shared" si="195"/>
        <v>ÿ</v>
      </c>
      <c r="P292" s="19" t="str">
        <f t="shared" si="196"/>
        <v>ÿ</v>
      </c>
      <c r="Q292" s="61" t="str">
        <f t="shared" si="197"/>
        <v>ÿ</v>
      </c>
      <c r="R292" s="64" t="str">
        <f t="shared" si="187"/>
        <v>ÿÿÿÿ</v>
      </c>
    </row>
    <row r="293" spans="1:18" x14ac:dyDescent="0.25">
      <c r="A293" s="48"/>
      <c r="B293" s="55" t="str">
        <f>GearBox!C28</f>
        <v>DEFAULT_RESERVED_GEARBOX</v>
      </c>
      <c r="C293" s="51" t="str">
        <f>GearBox!B28</f>
        <v>3FC88</v>
      </c>
      <c r="D293" s="23">
        <f>GearBox!D28</f>
        <v>4294967295</v>
      </c>
      <c r="E293" s="21" t="str">
        <f t="shared" si="188"/>
        <v>FFFFFFFF</v>
      </c>
      <c r="F293" s="31">
        <f t="shared" si="206"/>
        <v>255</v>
      </c>
      <c r="G293" s="18">
        <f t="shared" si="207"/>
        <v>255</v>
      </c>
      <c r="H293" s="18">
        <f t="shared" si="208"/>
        <v>255</v>
      </c>
      <c r="I293" s="32">
        <f t="shared" si="209"/>
        <v>255</v>
      </c>
      <c r="J293" s="31" t="str">
        <f t="shared" si="210"/>
        <v>FF</v>
      </c>
      <c r="K293" s="18" t="str">
        <f t="shared" si="211"/>
        <v>FF</v>
      </c>
      <c r="L293" s="18" t="str">
        <f t="shared" si="212"/>
        <v>FF</v>
      </c>
      <c r="M293" s="32" t="str">
        <f t="shared" si="213"/>
        <v>FF</v>
      </c>
      <c r="N293" s="23" t="str">
        <f t="shared" si="194"/>
        <v>ÿ</v>
      </c>
      <c r="O293" s="18" t="str">
        <f t="shared" si="195"/>
        <v>ÿ</v>
      </c>
      <c r="P293" s="18" t="str">
        <f t="shared" si="196"/>
        <v>ÿ</v>
      </c>
      <c r="Q293" s="65" t="str">
        <f t="shared" si="197"/>
        <v>ÿ</v>
      </c>
      <c r="R293" s="2" t="str">
        <f t="shared" si="187"/>
        <v>ÿÿÿÿ</v>
      </c>
    </row>
    <row r="294" spans="1:18" x14ac:dyDescent="0.25">
      <c r="A294" s="47"/>
      <c r="B294" s="56" t="str">
        <f>GearBox!C29</f>
        <v>DEFAULT_RESERVED_GEARBOX</v>
      </c>
      <c r="C294" s="52" t="str">
        <f>GearBox!B29</f>
        <v>3FC8C</v>
      </c>
      <c r="D294" s="22">
        <f>GearBox!D29</f>
        <v>4294967295</v>
      </c>
      <c r="E294" s="25" t="str">
        <f t="shared" si="188"/>
        <v>FFFFFFFF</v>
      </c>
      <c r="F294" s="29">
        <f t="shared" si="206"/>
        <v>255</v>
      </c>
      <c r="G294" s="19">
        <f t="shared" si="207"/>
        <v>255</v>
      </c>
      <c r="H294" s="19">
        <f t="shared" si="208"/>
        <v>255</v>
      </c>
      <c r="I294" s="30">
        <f t="shared" si="209"/>
        <v>255</v>
      </c>
      <c r="J294" s="29" t="str">
        <f t="shared" si="210"/>
        <v>FF</v>
      </c>
      <c r="K294" s="19" t="str">
        <f t="shared" si="211"/>
        <v>FF</v>
      </c>
      <c r="L294" s="19" t="str">
        <f t="shared" si="212"/>
        <v>FF</v>
      </c>
      <c r="M294" s="30" t="str">
        <f t="shared" si="213"/>
        <v>FF</v>
      </c>
      <c r="N294" s="22" t="str">
        <f t="shared" si="194"/>
        <v>ÿ</v>
      </c>
      <c r="O294" s="19" t="str">
        <f t="shared" si="195"/>
        <v>ÿ</v>
      </c>
      <c r="P294" s="19" t="str">
        <f t="shared" si="196"/>
        <v>ÿ</v>
      </c>
      <c r="Q294" s="61" t="str">
        <f t="shared" si="197"/>
        <v>ÿ</v>
      </c>
      <c r="R294" s="64" t="str">
        <f t="shared" si="187"/>
        <v>ÿÿÿÿ</v>
      </c>
    </row>
    <row r="295" spans="1:18" x14ac:dyDescent="0.25">
      <c r="A295" s="48"/>
      <c r="B295" s="55" t="str">
        <f>GearBox!C30</f>
        <v>DEFAULT_RESERVED_GEARBOX</v>
      </c>
      <c r="C295" s="51" t="str">
        <f>GearBox!B30</f>
        <v>3FC90</v>
      </c>
      <c r="D295" s="23">
        <f>GearBox!D30</f>
        <v>4294967295</v>
      </c>
      <c r="E295" s="21" t="str">
        <f t="shared" si="188"/>
        <v>FFFFFFFF</v>
      </c>
      <c r="F295" s="31">
        <f t="shared" si="206"/>
        <v>255</v>
      </c>
      <c r="G295" s="18">
        <f t="shared" si="207"/>
        <v>255</v>
      </c>
      <c r="H295" s="18">
        <f t="shared" si="208"/>
        <v>255</v>
      </c>
      <c r="I295" s="32">
        <f t="shared" si="209"/>
        <v>255</v>
      </c>
      <c r="J295" s="31" t="str">
        <f t="shared" si="210"/>
        <v>FF</v>
      </c>
      <c r="K295" s="18" t="str">
        <f t="shared" si="211"/>
        <v>FF</v>
      </c>
      <c r="L295" s="18" t="str">
        <f t="shared" si="212"/>
        <v>FF</v>
      </c>
      <c r="M295" s="32" t="str">
        <f t="shared" si="213"/>
        <v>FF</v>
      </c>
      <c r="N295" s="23" t="str">
        <f t="shared" si="194"/>
        <v>ÿ</v>
      </c>
      <c r="O295" s="18" t="str">
        <f t="shared" si="195"/>
        <v>ÿ</v>
      </c>
      <c r="P295" s="18" t="str">
        <f t="shared" si="196"/>
        <v>ÿ</v>
      </c>
      <c r="Q295" s="65" t="str">
        <f t="shared" si="197"/>
        <v>ÿ</v>
      </c>
      <c r="R295" s="2" t="str">
        <f t="shared" si="187"/>
        <v>ÿÿÿÿ</v>
      </c>
    </row>
    <row r="296" spans="1:18" x14ac:dyDescent="0.25">
      <c r="A296" s="47"/>
      <c r="B296" s="56" t="str">
        <f>GearBox!C31</f>
        <v>DEFAULT_RESERVED_GEARBOX</v>
      </c>
      <c r="C296" s="52" t="str">
        <f>GearBox!B31</f>
        <v>3FC94</v>
      </c>
      <c r="D296" s="22">
        <f>GearBox!D31</f>
        <v>4294967295</v>
      </c>
      <c r="E296" s="25" t="str">
        <f t="shared" si="188"/>
        <v>FFFFFFFF</v>
      </c>
      <c r="F296" s="29">
        <f t="shared" si="206"/>
        <v>255</v>
      </c>
      <c r="G296" s="19">
        <f t="shared" si="207"/>
        <v>255</v>
      </c>
      <c r="H296" s="19">
        <f t="shared" si="208"/>
        <v>255</v>
      </c>
      <c r="I296" s="30">
        <f t="shared" si="209"/>
        <v>255</v>
      </c>
      <c r="J296" s="29" t="str">
        <f t="shared" si="210"/>
        <v>FF</v>
      </c>
      <c r="K296" s="19" t="str">
        <f t="shared" si="211"/>
        <v>FF</v>
      </c>
      <c r="L296" s="19" t="str">
        <f t="shared" si="212"/>
        <v>FF</v>
      </c>
      <c r="M296" s="30" t="str">
        <f t="shared" si="213"/>
        <v>FF</v>
      </c>
      <c r="N296" s="22" t="str">
        <f t="shared" si="194"/>
        <v>ÿ</v>
      </c>
      <c r="O296" s="19" t="str">
        <f t="shared" si="195"/>
        <v>ÿ</v>
      </c>
      <c r="P296" s="19" t="str">
        <f t="shared" si="196"/>
        <v>ÿ</v>
      </c>
      <c r="Q296" s="61" t="str">
        <f t="shared" si="197"/>
        <v>ÿ</v>
      </c>
      <c r="R296" s="64" t="str">
        <f t="shared" si="187"/>
        <v>ÿÿÿÿ</v>
      </c>
    </row>
    <row r="297" spans="1:18" x14ac:dyDescent="0.25">
      <c r="A297" s="48"/>
      <c r="B297" s="55" t="str">
        <f>GearBox!C32</f>
        <v>DEFAULT_RESERVED_GEARBOX</v>
      </c>
      <c r="C297" s="51" t="str">
        <f>GearBox!B32</f>
        <v>3FC98</v>
      </c>
      <c r="D297" s="23">
        <f>GearBox!D32</f>
        <v>4294967295</v>
      </c>
      <c r="E297" s="21" t="str">
        <f t="shared" si="188"/>
        <v>FFFFFFFF</v>
      </c>
      <c r="F297" s="31">
        <f t="shared" si="206"/>
        <v>255</v>
      </c>
      <c r="G297" s="18">
        <f t="shared" si="207"/>
        <v>255</v>
      </c>
      <c r="H297" s="18">
        <f t="shared" si="208"/>
        <v>255</v>
      </c>
      <c r="I297" s="32">
        <f t="shared" si="209"/>
        <v>255</v>
      </c>
      <c r="J297" s="31" t="str">
        <f t="shared" si="210"/>
        <v>FF</v>
      </c>
      <c r="K297" s="18" t="str">
        <f t="shared" si="211"/>
        <v>FF</v>
      </c>
      <c r="L297" s="18" t="str">
        <f t="shared" si="212"/>
        <v>FF</v>
      </c>
      <c r="M297" s="32" t="str">
        <f t="shared" si="213"/>
        <v>FF</v>
      </c>
      <c r="N297" s="23" t="str">
        <f t="shared" si="194"/>
        <v>ÿ</v>
      </c>
      <c r="O297" s="18" t="str">
        <f t="shared" si="195"/>
        <v>ÿ</v>
      </c>
      <c r="P297" s="18" t="str">
        <f t="shared" si="196"/>
        <v>ÿ</v>
      </c>
      <c r="Q297" s="65" t="str">
        <f t="shared" si="197"/>
        <v>ÿ</v>
      </c>
      <c r="R297" s="2" t="str">
        <f t="shared" si="187"/>
        <v>ÿÿÿÿ</v>
      </c>
    </row>
    <row r="298" spans="1:18" ht="15.75" thickBot="1" x14ac:dyDescent="0.3">
      <c r="A298" s="47"/>
      <c r="B298" s="58" t="str">
        <f>GearBox!C33</f>
        <v>DEFAULT_RESERVED_GEARBOX</v>
      </c>
      <c r="C298" s="68" t="str">
        <f>GearBox!B33</f>
        <v>3FC9C</v>
      </c>
      <c r="D298" s="69">
        <f>GearBox!D33</f>
        <v>4294967295</v>
      </c>
      <c r="E298" s="63" t="str">
        <f t="shared" si="188"/>
        <v>FFFFFFFF</v>
      </c>
      <c r="F298" s="62">
        <f t="shared" si="206"/>
        <v>255</v>
      </c>
      <c r="G298" s="70">
        <f t="shared" si="207"/>
        <v>255</v>
      </c>
      <c r="H298" s="70">
        <f t="shared" si="208"/>
        <v>255</v>
      </c>
      <c r="I298" s="71">
        <f t="shared" si="209"/>
        <v>255</v>
      </c>
      <c r="J298" s="62" t="str">
        <f t="shared" si="210"/>
        <v>FF</v>
      </c>
      <c r="K298" s="70" t="str">
        <f t="shared" si="211"/>
        <v>FF</v>
      </c>
      <c r="L298" s="70" t="str">
        <f t="shared" si="212"/>
        <v>FF</v>
      </c>
      <c r="M298" s="71" t="str">
        <f t="shared" si="213"/>
        <v>FF</v>
      </c>
      <c r="N298" s="69" t="str">
        <f t="shared" si="194"/>
        <v>ÿ</v>
      </c>
      <c r="O298" s="70" t="str">
        <f t="shared" si="195"/>
        <v>ÿ</v>
      </c>
      <c r="P298" s="70" t="str">
        <f t="shared" si="196"/>
        <v>ÿ</v>
      </c>
      <c r="Q298" s="72" t="str">
        <f t="shared" si="197"/>
        <v>ÿ</v>
      </c>
      <c r="R298" s="117" t="str">
        <f t="shared" si="187"/>
        <v>ÿÿÿÿ</v>
      </c>
    </row>
    <row r="299" spans="1:18" x14ac:dyDescent="0.25">
      <c r="A299" s="48"/>
      <c r="B299" s="57" t="str">
        <f>Brake!C2</f>
        <v>DEFAULT_BrakeModelNumber1</v>
      </c>
      <c r="C299" s="4" t="str">
        <f>Brake!B2</f>
        <v>3FCA0</v>
      </c>
      <c r="D299" s="113">
        <v>0</v>
      </c>
      <c r="E299" s="38" t="s">
        <v>114</v>
      </c>
      <c r="F299" s="39" t="s">
        <v>114</v>
      </c>
      <c r="G299" s="40" t="s">
        <v>114</v>
      </c>
      <c r="H299" s="40" t="s">
        <v>114</v>
      </c>
      <c r="I299" s="41" t="s">
        <v>114</v>
      </c>
      <c r="J299" s="37" t="str">
        <f>MID($D299,1,1)</f>
        <v>0</v>
      </c>
      <c r="K299" s="40" t="str">
        <f>MID($D299,2,1)</f>
        <v/>
      </c>
      <c r="L299" s="40" t="str">
        <f>MID($D299,3,1)</f>
        <v/>
      </c>
      <c r="M299" s="66" t="str">
        <f>MID($D299,4,1)</f>
        <v/>
      </c>
      <c r="N299" s="37" t="str">
        <f>MID($D299,1,1)</f>
        <v>0</v>
      </c>
      <c r="O299" s="40" t="str">
        <f>MID($D299,2,1)</f>
        <v/>
      </c>
      <c r="P299" s="40" t="str">
        <f>MID($D299,3,1)</f>
        <v/>
      </c>
      <c r="Q299" s="66" t="str">
        <f>MID($D299,4,1)</f>
        <v/>
      </c>
      <c r="R299" s="2" t="str">
        <f t="shared" si="187"/>
        <v>0</v>
      </c>
    </row>
    <row r="300" spans="1:18" x14ac:dyDescent="0.25">
      <c r="A300" s="47"/>
      <c r="B300" s="56" t="str">
        <f>Brake!C3</f>
        <v>DEFAULT_BrakeModelNumber2</v>
      </c>
      <c r="C300" s="52" t="str">
        <f>Brake!B3</f>
        <v>3FCA4</v>
      </c>
      <c r="D300" s="115">
        <f>Brake!D3</f>
        <v>0</v>
      </c>
      <c r="E300" s="25" t="s">
        <v>114</v>
      </c>
      <c r="F300" s="29" t="s">
        <v>114</v>
      </c>
      <c r="G300" s="19" t="s">
        <v>114</v>
      </c>
      <c r="H300" s="19" t="s">
        <v>114</v>
      </c>
      <c r="I300" s="30" t="s">
        <v>114</v>
      </c>
      <c r="J300" s="22" t="str">
        <f>MID($D300,1,1)</f>
        <v>0</v>
      </c>
      <c r="K300" s="19" t="str">
        <f>MID($D300,2,1)</f>
        <v/>
      </c>
      <c r="L300" s="19" t="str">
        <f>MID($D300,3,1)</f>
        <v/>
      </c>
      <c r="M300" s="61" t="str">
        <f>MID($D300,4,1)</f>
        <v/>
      </c>
      <c r="N300" s="22" t="str">
        <f>MID($D300,1,1)</f>
        <v>0</v>
      </c>
      <c r="O300" s="19" t="str">
        <f>MID($D300,2,1)</f>
        <v/>
      </c>
      <c r="P300" s="19" t="str">
        <f>MID($D300,3,1)</f>
        <v/>
      </c>
      <c r="Q300" s="61" t="str">
        <f>MID($D300,4,1)</f>
        <v/>
      </c>
      <c r="R300" s="64" t="str">
        <f t="shared" si="187"/>
        <v>0</v>
      </c>
    </row>
    <row r="301" spans="1:18" x14ac:dyDescent="0.25">
      <c r="A301" s="48"/>
      <c r="B301" s="55" t="str">
        <f>Brake!C4</f>
        <v>DEFAULT_BrakeModelNumber3</v>
      </c>
      <c r="C301" s="51" t="str">
        <f>Brake!B4</f>
        <v>3FCA8</v>
      </c>
      <c r="D301" s="114">
        <f>Brake!D4</f>
        <v>0</v>
      </c>
      <c r="E301" s="21" t="s">
        <v>114</v>
      </c>
      <c r="F301" s="31" t="s">
        <v>114</v>
      </c>
      <c r="G301" s="18" t="s">
        <v>114</v>
      </c>
      <c r="H301" s="18" t="s">
        <v>114</v>
      </c>
      <c r="I301" s="32" t="s">
        <v>114</v>
      </c>
      <c r="J301" s="23" t="str">
        <f>MID($D301,1,1)</f>
        <v>0</v>
      </c>
      <c r="K301" s="18" t="str">
        <f>MID($D301,2,1)</f>
        <v/>
      </c>
      <c r="L301" s="18" t="str">
        <f>MID($D301,3,1)</f>
        <v/>
      </c>
      <c r="M301" s="65" t="str">
        <f>MID($D301,4,1)</f>
        <v/>
      </c>
      <c r="N301" s="23" t="str">
        <f>MID($D301,1,1)</f>
        <v>0</v>
      </c>
      <c r="O301" s="18" t="str">
        <f>MID($D301,2,1)</f>
        <v/>
      </c>
      <c r="P301" s="18" t="str">
        <f>MID($D301,3,1)</f>
        <v/>
      </c>
      <c r="Q301" s="65" t="str">
        <f>MID($D301,4,1)</f>
        <v/>
      </c>
      <c r="R301" s="2" t="str">
        <f t="shared" si="187"/>
        <v>0</v>
      </c>
    </row>
    <row r="302" spans="1:18" x14ac:dyDescent="0.25">
      <c r="A302" s="47"/>
      <c r="B302" s="56" t="str">
        <f>Brake!C5</f>
        <v>DEFAULT_BrakeType</v>
      </c>
      <c r="C302" s="52" t="str">
        <f>Brake!B5</f>
        <v>3FCAC</v>
      </c>
      <c r="D302" s="22">
        <f>Brake!D5</f>
        <v>0</v>
      </c>
      <c r="E302" s="25" t="str">
        <f t="shared" ref="E302:E330" si="214">IF(D302&gt;=0,DEC2HEX(D302),DEC2HEX(D302+ 2^32))</f>
        <v>0</v>
      </c>
      <c r="F302" s="29">
        <f t="shared" ref="F302:F308" si="215">IF(D302 &gt;= 0,TRUNC(D302/(2^24)),TRUNC((D302 + 2^32)/(2^24)))</f>
        <v>0</v>
      </c>
      <c r="G302" s="19">
        <f t="shared" ref="G302:G308" si="216">IF(D302&gt;=0,TRUNC((D302-(F302*2^24))/(2^16)),TRUNC(((D302+2^32)-(F302*2^24))/(2^16)))</f>
        <v>0</v>
      </c>
      <c r="H302" s="19">
        <f t="shared" ref="H302:H308" si="217">IF(D302&gt;=0,TRUNC((D302-((F302*2^24)+(G302*2^16)))/2^8),TRUNC(((D302 + 2^32)-((F302*2^24)+(G302*2^16)))/2^8))</f>
        <v>0</v>
      </c>
      <c r="I302" s="30">
        <f t="shared" ref="I302:I308" si="218">IF(D302&gt;=0,TRUNC((D302-((F302*2^24)+(G302*2^16)+(H302*2^8)))),TRUNC(((D302+2^32)-((F302*2^24)+(G302*2^16)+(H302*2^8)))))</f>
        <v>0</v>
      </c>
      <c r="J302" s="29" t="str">
        <f t="shared" ref="J302:M308" si="219">DEC2HEX(F302)</f>
        <v>0</v>
      </c>
      <c r="K302" s="19" t="str">
        <f t="shared" si="219"/>
        <v>0</v>
      </c>
      <c r="L302" s="19" t="str">
        <f t="shared" si="219"/>
        <v>0</v>
      </c>
      <c r="M302" s="30" t="str">
        <f t="shared" si="219"/>
        <v>0</v>
      </c>
      <c r="N302" s="22" t="str">
        <f t="shared" ref="N302:N330" si="220">IF(F302&lt;&gt;0,CHAR(F302),"")</f>
        <v/>
      </c>
      <c r="O302" s="19" t="str">
        <f t="shared" ref="O302:O330" si="221">IF(G302&lt;&gt;0,CHAR(G302),"")</f>
        <v/>
      </c>
      <c r="P302" s="19" t="str">
        <f t="shared" ref="P302:P330" si="222">IF(H302&lt;&gt;0,CHAR(H302),"")</f>
        <v/>
      </c>
      <c r="Q302" s="61" t="str">
        <f t="shared" ref="Q302:Q330" si="223">IF(I302&lt;&gt;0,CHAR(I302),"")</f>
        <v/>
      </c>
      <c r="R302" s="64" t="str">
        <f t="shared" si="187"/>
        <v/>
      </c>
    </row>
    <row r="303" spans="1:18" x14ac:dyDescent="0.25">
      <c r="A303" s="48"/>
      <c r="B303" s="55" t="str">
        <f>Brake!C6</f>
        <v>DEFAULT_BrakeCurrent</v>
      </c>
      <c r="C303" s="51" t="str">
        <f>Brake!B6</f>
        <v>3FCB0</v>
      </c>
      <c r="D303" s="23">
        <f>Brake!D6</f>
        <v>0</v>
      </c>
      <c r="E303" s="21" t="str">
        <f t="shared" si="214"/>
        <v>0</v>
      </c>
      <c r="F303" s="31">
        <f t="shared" si="215"/>
        <v>0</v>
      </c>
      <c r="G303" s="18">
        <f t="shared" si="216"/>
        <v>0</v>
      </c>
      <c r="H303" s="18">
        <f t="shared" si="217"/>
        <v>0</v>
      </c>
      <c r="I303" s="32">
        <f t="shared" si="218"/>
        <v>0</v>
      </c>
      <c r="J303" s="31" t="str">
        <f t="shared" si="219"/>
        <v>0</v>
      </c>
      <c r="K303" s="18" t="str">
        <f t="shared" si="219"/>
        <v>0</v>
      </c>
      <c r="L303" s="18" t="str">
        <f t="shared" si="219"/>
        <v>0</v>
      </c>
      <c r="M303" s="32" t="str">
        <f t="shared" si="219"/>
        <v>0</v>
      </c>
      <c r="N303" s="23" t="str">
        <f t="shared" si="220"/>
        <v/>
      </c>
      <c r="O303" s="18" t="str">
        <f t="shared" si="221"/>
        <v/>
      </c>
      <c r="P303" s="18" t="str">
        <f t="shared" si="222"/>
        <v/>
      </c>
      <c r="Q303" s="65" t="str">
        <f t="shared" si="223"/>
        <v/>
      </c>
      <c r="R303" s="2" t="str">
        <f t="shared" si="187"/>
        <v/>
      </c>
    </row>
    <row r="304" spans="1:18" x14ac:dyDescent="0.25">
      <c r="A304" s="47"/>
      <c r="B304" s="56" t="str">
        <f>Brake!C7</f>
        <v>DEFAULT_RESERVED_BRAKE</v>
      </c>
      <c r="C304" s="52" t="str">
        <f>Brake!B7</f>
        <v>3FCB4</v>
      </c>
      <c r="D304" s="22">
        <f>Brake!D7</f>
        <v>4294967295</v>
      </c>
      <c r="E304" s="25" t="str">
        <f t="shared" si="214"/>
        <v>FFFFFFFF</v>
      </c>
      <c r="F304" s="29">
        <f t="shared" si="215"/>
        <v>255</v>
      </c>
      <c r="G304" s="19">
        <f t="shared" si="216"/>
        <v>255</v>
      </c>
      <c r="H304" s="19">
        <f t="shared" si="217"/>
        <v>255</v>
      </c>
      <c r="I304" s="30">
        <f t="shared" si="218"/>
        <v>255</v>
      </c>
      <c r="J304" s="29" t="str">
        <f t="shared" si="219"/>
        <v>FF</v>
      </c>
      <c r="K304" s="19" t="str">
        <f t="shared" si="219"/>
        <v>FF</v>
      </c>
      <c r="L304" s="19" t="str">
        <f t="shared" si="219"/>
        <v>FF</v>
      </c>
      <c r="M304" s="30" t="str">
        <f t="shared" si="219"/>
        <v>FF</v>
      </c>
      <c r="N304" s="22" t="str">
        <f t="shared" si="220"/>
        <v>ÿ</v>
      </c>
      <c r="O304" s="19" t="str">
        <f t="shared" si="221"/>
        <v>ÿ</v>
      </c>
      <c r="P304" s="19" t="str">
        <f t="shared" si="222"/>
        <v>ÿ</v>
      </c>
      <c r="Q304" s="61" t="str">
        <f t="shared" si="223"/>
        <v>ÿ</v>
      </c>
      <c r="R304" s="64" t="str">
        <f t="shared" si="187"/>
        <v>ÿÿÿÿ</v>
      </c>
    </row>
    <row r="305" spans="1:18" x14ac:dyDescent="0.25">
      <c r="A305" s="48"/>
      <c r="B305" s="55" t="str">
        <f>Brake!C8</f>
        <v>DEFAULT_RESERVED_BRAKE</v>
      </c>
      <c r="C305" s="51" t="str">
        <f>Brake!B8</f>
        <v>3FCB8</v>
      </c>
      <c r="D305" s="23">
        <f>Brake!D8</f>
        <v>4294967295</v>
      </c>
      <c r="E305" s="21" t="str">
        <f t="shared" si="214"/>
        <v>FFFFFFFF</v>
      </c>
      <c r="F305" s="31">
        <f t="shared" si="215"/>
        <v>255</v>
      </c>
      <c r="G305" s="18">
        <f t="shared" si="216"/>
        <v>255</v>
      </c>
      <c r="H305" s="18">
        <f t="shared" si="217"/>
        <v>255</v>
      </c>
      <c r="I305" s="32">
        <f t="shared" si="218"/>
        <v>255</v>
      </c>
      <c r="J305" s="31" t="str">
        <f t="shared" si="219"/>
        <v>FF</v>
      </c>
      <c r="K305" s="18" t="str">
        <f t="shared" si="219"/>
        <v>FF</v>
      </c>
      <c r="L305" s="18" t="str">
        <f t="shared" si="219"/>
        <v>FF</v>
      </c>
      <c r="M305" s="32" t="str">
        <f t="shared" si="219"/>
        <v>FF</v>
      </c>
      <c r="N305" s="23" t="str">
        <f t="shared" si="220"/>
        <v>ÿ</v>
      </c>
      <c r="O305" s="18" t="str">
        <f t="shared" si="221"/>
        <v>ÿ</v>
      </c>
      <c r="P305" s="18" t="str">
        <f t="shared" si="222"/>
        <v>ÿ</v>
      </c>
      <c r="Q305" s="65" t="str">
        <f t="shared" si="223"/>
        <v>ÿ</v>
      </c>
      <c r="R305" s="2" t="str">
        <f t="shared" si="187"/>
        <v>ÿÿÿÿ</v>
      </c>
    </row>
    <row r="306" spans="1:18" x14ac:dyDescent="0.25">
      <c r="A306" s="47"/>
      <c r="B306" s="56" t="str">
        <f>Brake!C9</f>
        <v>DEFAULT_RESERVED_BRAKE</v>
      </c>
      <c r="C306" s="52" t="str">
        <f>Brake!B9</f>
        <v>3FCBC</v>
      </c>
      <c r="D306" s="22">
        <f>Brake!D9</f>
        <v>4294967295</v>
      </c>
      <c r="E306" s="25" t="str">
        <f t="shared" si="214"/>
        <v>FFFFFFFF</v>
      </c>
      <c r="F306" s="29">
        <f t="shared" si="215"/>
        <v>255</v>
      </c>
      <c r="G306" s="19">
        <f t="shared" si="216"/>
        <v>255</v>
      </c>
      <c r="H306" s="19">
        <f t="shared" si="217"/>
        <v>255</v>
      </c>
      <c r="I306" s="30">
        <f t="shared" si="218"/>
        <v>255</v>
      </c>
      <c r="J306" s="29" t="str">
        <f t="shared" si="219"/>
        <v>FF</v>
      </c>
      <c r="K306" s="19" t="str">
        <f t="shared" si="219"/>
        <v>FF</v>
      </c>
      <c r="L306" s="19" t="str">
        <f t="shared" si="219"/>
        <v>FF</v>
      </c>
      <c r="M306" s="30" t="str">
        <f t="shared" si="219"/>
        <v>FF</v>
      </c>
      <c r="N306" s="22" t="str">
        <f t="shared" si="220"/>
        <v>ÿ</v>
      </c>
      <c r="O306" s="19" t="str">
        <f t="shared" si="221"/>
        <v>ÿ</v>
      </c>
      <c r="P306" s="19" t="str">
        <f t="shared" si="222"/>
        <v>ÿ</v>
      </c>
      <c r="Q306" s="61" t="str">
        <f t="shared" si="223"/>
        <v>ÿ</v>
      </c>
      <c r="R306" s="64" t="str">
        <f t="shared" si="187"/>
        <v>ÿÿÿÿ</v>
      </c>
    </row>
    <row r="307" spans="1:18" x14ac:dyDescent="0.25">
      <c r="A307" s="48"/>
      <c r="B307" s="55" t="str">
        <f>Brake!C10</f>
        <v>DEFAULT_RESERVED_BRAKE</v>
      </c>
      <c r="C307" s="51" t="str">
        <f>Brake!B10</f>
        <v>3FCC0</v>
      </c>
      <c r="D307" s="23">
        <f>Brake!D10</f>
        <v>4294967295</v>
      </c>
      <c r="E307" s="21" t="str">
        <f t="shared" si="214"/>
        <v>FFFFFFFF</v>
      </c>
      <c r="F307" s="31">
        <f t="shared" si="215"/>
        <v>255</v>
      </c>
      <c r="G307" s="18">
        <f t="shared" si="216"/>
        <v>255</v>
      </c>
      <c r="H307" s="18">
        <f t="shared" si="217"/>
        <v>255</v>
      </c>
      <c r="I307" s="32">
        <f t="shared" si="218"/>
        <v>255</v>
      </c>
      <c r="J307" s="31" t="str">
        <f t="shared" si="219"/>
        <v>FF</v>
      </c>
      <c r="K307" s="18" t="str">
        <f t="shared" si="219"/>
        <v>FF</v>
      </c>
      <c r="L307" s="18" t="str">
        <f t="shared" si="219"/>
        <v>FF</v>
      </c>
      <c r="M307" s="32" t="str">
        <f t="shared" si="219"/>
        <v>FF</v>
      </c>
      <c r="N307" s="23" t="str">
        <f t="shared" si="220"/>
        <v>ÿ</v>
      </c>
      <c r="O307" s="18" t="str">
        <f t="shared" si="221"/>
        <v>ÿ</v>
      </c>
      <c r="P307" s="18" t="str">
        <f t="shared" si="222"/>
        <v>ÿ</v>
      </c>
      <c r="Q307" s="65" t="str">
        <f t="shared" si="223"/>
        <v>ÿ</v>
      </c>
      <c r="R307" s="2" t="str">
        <f t="shared" si="187"/>
        <v>ÿÿÿÿ</v>
      </c>
    </row>
    <row r="308" spans="1:18" x14ac:dyDescent="0.25">
      <c r="A308" s="47"/>
      <c r="B308" s="56" t="str">
        <f>Brake!C11</f>
        <v>DEFAULT_RESERVED_BRAKE</v>
      </c>
      <c r="C308" s="52" t="str">
        <f>Brake!B11</f>
        <v>3FCC4</v>
      </c>
      <c r="D308" s="22">
        <f>Brake!D11</f>
        <v>4294967295</v>
      </c>
      <c r="E308" s="25" t="str">
        <f t="shared" si="214"/>
        <v>FFFFFFFF</v>
      </c>
      <c r="F308" s="29">
        <f t="shared" si="215"/>
        <v>255</v>
      </c>
      <c r="G308" s="19">
        <f t="shared" si="216"/>
        <v>255</v>
      </c>
      <c r="H308" s="19">
        <f t="shared" si="217"/>
        <v>255</v>
      </c>
      <c r="I308" s="30">
        <f t="shared" si="218"/>
        <v>255</v>
      </c>
      <c r="J308" s="29" t="str">
        <f t="shared" si="219"/>
        <v>FF</v>
      </c>
      <c r="K308" s="19" t="str">
        <f t="shared" si="219"/>
        <v>FF</v>
      </c>
      <c r="L308" s="19" t="str">
        <f t="shared" si="219"/>
        <v>FF</v>
      </c>
      <c r="M308" s="30" t="str">
        <f t="shared" si="219"/>
        <v>FF</v>
      </c>
      <c r="N308" s="22" t="str">
        <f t="shared" si="220"/>
        <v>ÿ</v>
      </c>
      <c r="O308" s="19" t="str">
        <f t="shared" si="221"/>
        <v>ÿ</v>
      </c>
      <c r="P308" s="19" t="str">
        <f t="shared" si="222"/>
        <v>ÿ</v>
      </c>
      <c r="Q308" s="61" t="str">
        <f t="shared" si="223"/>
        <v>ÿ</v>
      </c>
      <c r="R308" s="64" t="str">
        <f t="shared" si="187"/>
        <v>ÿÿÿÿ</v>
      </c>
    </row>
    <row r="309" spans="1:18" x14ac:dyDescent="0.25">
      <c r="A309" s="48"/>
      <c r="B309" s="55" t="str">
        <f>Brake!C12</f>
        <v>DEFAULT_RESERVED_BRAKE</v>
      </c>
      <c r="C309" s="51" t="str">
        <f>Brake!B12</f>
        <v>3FCC8</v>
      </c>
      <c r="D309" s="23">
        <f>Brake!D12</f>
        <v>4294967295</v>
      </c>
      <c r="E309" s="21" t="str">
        <f t="shared" si="214"/>
        <v>FFFFFFFF</v>
      </c>
      <c r="F309" s="31">
        <f t="shared" ref="F309:F316" si="224">IF(D309 &gt;= 0,TRUNC(D309/(2^24)),TRUNC((D309 + 2^32)/(2^24)))</f>
        <v>255</v>
      </c>
      <c r="G309" s="18">
        <f t="shared" ref="G309:G316" si="225">IF(D309&gt;=0,TRUNC((D309-(F309*2^24))/(2^16)),TRUNC(((D309+2^32)-(F309*2^24))/(2^16)))</f>
        <v>255</v>
      </c>
      <c r="H309" s="18">
        <f t="shared" ref="H309:H316" si="226">IF(D309&gt;=0,TRUNC((D309-((F309*2^24)+(G309*2^16)))/2^8),TRUNC(((D309 + 2^32)-((F309*2^24)+(G309*2^16)))/2^8))</f>
        <v>255</v>
      </c>
      <c r="I309" s="32">
        <f t="shared" ref="I309:I316" si="227">IF(D309&gt;=0,TRUNC((D309-((F309*2^24)+(G309*2^16)+(H309*2^8)))),TRUNC(((D309+2^32)-((F309*2^24)+(G309*2^16)+(H309*2^8)))))</f>
        <v>255</v>
      </c>
      <c r="J309" s="31" t="str">
        <f t="shared" ref="J309:J316" si="228">DEC2HEX(F309)</f>
        <v>FF</v>
      </c>
      <c r="K309" s="18" t="str">
        <f t="shared" ref="K309:K316" si="229">DEC2HEX(G309)</f>
        <v>FF</v>
      </c>
      <c r="L309" s="18" t="str">
        <f t="shared" ref="L309:L316" si="230">DEC2HEX(H309)</f>
        <v>FF</v>
      </c>
      <c r="M309" s="32" t="str">
        <f t="shared" ref="M309:M316" si="231">DEC2HEX(I309)</f>
        <v>FF</v>
      </c>
      <c r="N309" s="23" t="str">
        <f t="shared" si="220"/>
        <v>ÿ</v>
      </c>
      <c r="O309" s="18" t="str">
        <f t="shared" si="221"/>
        <v>ÿ</v>
      </c>
      <c r="P309" s="18" t="str">
        <f t="shared" si="222"/>
        <v>ÿ</v>
      </c>
      <c r="Q309" s="65" t="str">
        <f t="shared" si="223"/>
        <v>ÿ</v>
      </c>
      <c r="R309" s="2" t="str">
        <f t="shared" si="187"/>
        <v>ÿÿÿÿ</v>
      </c>
    </row>
    <row r="310" spans="1:18" x14ac:dyDescent="0.25">
      <c r="A310" s="47"/>
      <c r="B310" s="56" t="str">
        <f>Brake!C13</f>
        <v>DEFAULT_RESERVED_BRAKE</v>
      </c>
      <c r="C310" s="52" t="str">
        <f>Brake!B13</f>
        <v>3FCCC</v>
      </c>
      <c r="D310" s="22">
        <f>Brake!D13</f>
        <v>4294967295</v>
      </c>
      <c r="E310" s="25" t="str">
        <f t="shared" si="214"/>
        <v>FFFFFFFF</v>
      </c>
      <c r="F310" s="29">
        <f t="shared" si="224"/>
        <v>255</v>
      </c>
      <c r="G310" s="19">
        <f t="shared" si="225"/>
        <v>255</v>
      </c>
      <c r="H310" s="19">
        <f t="shared" si="226"/>
        <v>255</v>
      </c>
      <c r="I310" s="30">
        <f t="shared" si="227"/>
        <v>255</v>
      </c>
      <c r="J310" s="29" t="str">
        <f t="shared" si="228"/>
        <v>FF</v>
      </c>
      <c r="K310" s="19" t="str">
        <f t="shared" si="229"/>
        <v>FF</v>
      </c>
      <c r="L310" s="19" t="str">
        <f t="shared" si="230"/>
        <v>FF</v>
      </c>
      <c r="M310" s="30" t="str">
        <f t="shared" si="231"/>
        <v>FF</v>
      </c>
      <c r="N310" s="22" t="str">
        <f t="shared" si="220"/>
        <v>ÿ</v>
      </c>
      <c r="O310" s="19" t="str">
        <f t="shared" si="221"/>
        <v>ÿ</v>
      </c>
      <c r="P310" s="19" t="str">
        <f t="shared" si="222"/>
        <v>ÿ</v>
      </c>
      <c r="Q310" s="61" t="str">
        <f t="shared" si="223"/>
        <v>ÿ</v>
      </c>
      <c r="R310" s="64" t="str">
        <f t="shared" si="187"/>
        <v>ÿÿÿÿ</v>
      </c>
    </row>
    <row r="311" spans="1:18" x14ac:dyDescent="0.25">
      <c r="A311" s="48"/>
      <c r="B311" s="55" t="str">
        <f>Brake!C14</f>
        <v>DEFAULT_RESERVED_BRAKE</v>
      </c>
      <c r="C311" s="51" t="str">
        <f>Brake!B14</f>
        <v>3FCD0</v>
      </c>
      <c r="D311" s="23">
        <f>Brake!D14</f>
        <v>4294967295</v>
      </c>
      <c r="E311" s="21" t="str">
        <f t="shared" si="214"/>
        <v>FFFFFFFF</v>
      </c>
      <c r="F311" s="31">
        <f t="shared" si="224"/>
        <v>255</v>
      </c>
      <c r="G311" s="18">
        <f t="shared" si="225"/>
        <v>255</v>
      </c>
      <c r="H311" s="18">
        <f t="shared" si="226"/>
        <v>255</v>
      </c>
      <c r="I311" s="32">
        <f t="shared" si="227"/>
        <v>255</v>
      </c>
      <c r="J311" s="31" t="str">
        <f t="shared" si="228"/>
        <v>FF</v>
      </c>
      <c r="K311" s="18" t="str">
        <f t="shared" si="229"/>
        <v>FF</v>
      </c>
      <c r="L311" s="18" t="str">
        <f t="shared" si="230"/>
        <v>FF</v>
      </c>
      <c r="M311" s="32" t="str">
        <f t="shared" si="231"/>
        <v>FF</v>
      </c>
      <c r="N311" s="23" t="str">
        <f t="shared" si="220"/>
        <v>ÿ</v>
      </c>
      <c r="O311" s="18" t="str">
        <f t="shared" si="221"/>
        <v>ÿ</v>
      </c>
      <c r="P311" s="18" t="str">
        <f t="shared" si="222"/>
        <v>ÿ</v>
      </c>
      <c r="Q311" s="65" t="str">
        <f t="shared" si="223"/>
        <v>ÿ</v>
      </c>
      <c r="R311" s="2" t="str">
        <f t="shared" si="187"/>
        <v>ÿÿÿÿ</v>
      </c>
    </row>
    <row r="312" spans="1:18" x14ac:dyDescent="0.25">
      <c r="A312" s="47"/>
      <c r="B312" s="56" t="str">
        <f>Brake!C15</f>
        <v>DEFAULT_RESERVED_BRAKE</v>
      </c>
      <c r="C312" s="52" t="str">
        <f>Brake!B15</f>
        <v>3FCD4</v>
      </c>
      <c r="D312" s="22">
        <f>Brake!D15</f>
        <v>4294967295</v>
      </c>
      <c r="E312" s="25" t="str">
        <f t="shared" si="214"/>
        <v>FFFFFFFF</v>
      </c>
      <c r="F312" s="29">
        <f t="shared" si="224"/>
        <v>255</v>
      </c>
      <c r="G312" s="19">
        <f t="shared" si="225"/>
        <v>255</v>
      </c>
      <c r="H312" s="19">
        <f t="shared" si="226"/>
        <v>255</v>
      </c>
      <c r="I312" s="30">
        <f t="shared" si="227"/>
        <v>255</v>
      </c>
      <c r="J312" s="29" t="str">
        <f t="shared" si="228"/>
        <v>FF</v>
      </c>
      <c r="K312" s="19" t="str">
        <f t="shared" si="229"/>
        <v>FF</v>
      </c>
      <c r="L312" s="19" t="str">
        <f t="shared" si="230"/>
        <v>FF</v>
      </c>
      <c r="M312" s="30" t="str">
        <f t="shared" si="231"/>
        <v>FF</v>
      </c>
      <c r="N312" s="22" t="str">
        <f t="shared" si="220"/>
        <v>ÿ</v>
      </c>
      <c r="O312" s="19" t="str">
        <f t="shared" si="221"/>
        <v>ÿ</v>
      </c>
      <c r="P312" s="19" t="str">
        <f t="shared" si="222"/>
        <v>ÿ</v>
      </c>
      <c r="Q312" s="61" t="str">
        <f t="shared" si="223"/>
        <v>ÿ</v>
      </c>
      <c r="R312" s="64" t="str">
        <f t="shared" si="187"/>
        <v>ÿÿÿÿ</v>
      </c>
    </row>
    <row r="313" spans="1:18" x14ac:dyDescent="0.25">
      <c r="A313" s="48"/>
      <c r="B313" s="55" t="str">
        <f>Brake!C16</f>
        <v>DEFAULT_RESERVED_BRAKE</v>
      </c>
      <c r="C313" s="51" t="str">
        <f>Brake!B16</f>
        <v>3FCD8</v>
      </c>
      <c r="D313" s="23">
        <f>Brake!D16</f>
        <v>4294967295</v>
      </c>
      <c r="E313" s="21" t="str">
        <f t="shared" si="214"/>
        <v>FFFFFFFF</v>
      </c>
      <c r="F313" s="31">
        <f t="shared" si="224"/>
        <v>255</v>
      </c>
      <c r="G313" s="18">
        <f t="shared" si="225"/>
        <v>255</v>
      </c>
      <c r="H313" s="18">
        <f t="shared" si="226"/>
        <v>255</v>
      </c>
      <c r="I313" s="32">
        <f t="shared" si="227"/>
        <v>255</v>
      </c>
      <c r="J313" s="31" t="str">
        <f t="shared" si="228"/>
        <v>FF</v>
      </c>
      <c r="K313" s="18" t="str">
        <f t="shared" si="229"/>
        <v>FF</v>
      </c>
      <c r="L313" s="18" t="str">
        <f t="shared" si="230"/>
        <v>FF</v>
      </c>
      <c r="M313" s="32" t="str">
        <f t="shared" si="231"/>
        <v>FF</v>
      </c>
      <c r="N313" s="23" t="str">
        <f t="shared" si="220"/>
        <v>ÿ</v>
      </c>
      <c r="O313" s="18" t="str">
        <f t="shared" si="221"/>
        <v>ÿ</v>
      </c>
      <c r="P313" s="18" t="str">
        <f t="shared" si="222"/>
        <v>ÿ</v>
      </c>
      <c r="Q313" s="65" t="str">
        <f t="shared" si="223"/>
        <v>ÿ</v>
      </c>
      <c r="R313" s="2" t="str">
        <f t="shared" si="187"/>
        <v>ÿÿÿÿ</v>
      </c>
    </row>
    <row r="314" spans="1:18" x14ac:dyDescent="0.25">
      <c r="A314" s="47"/>
      <c r="B314" s="56" t="str">
        <f>Brake!C17</f>
        <v>DEFAULT_RESERVED_BRAKE</v>
      </c>
      <c r="C314" s="52" t="str">
        <f>Brake!B17</f>
        <v>3FCDC</v>
      </c>
      <c r="D314" s="22">
        <f>Brake!D17</f>
        <v>4294967295</v>
      </c>
      <c r="E314" s="25" t="str">
        <f t="shared" si="214"/>
        <v>FFFFFFFF</v>
      </c>
      <c r="F314" s="29">
        <f t="shared" si="224"/>
        <v>255</v>
      </c>
      <c r="G314" s="19">
        <f t="shared" si="225"/>
        <v>255</v>
      </c>
      <c r="H314" s="19">
        <f t="shared" si="226"/>
        <v>255</v>
      </c>
      <c r="I314" s="30">
        <f t="shared" si="227"/>
        <v>255</v>
      </c>
      <c r="J314" s="29" t="str">
        <f t="shared" si="228"/>
        <v>FF</v>
      </c>
      <c r="K314" s="19" t="str">
        <f t="shared" si="229"/>
        <v>FF</v>
      </c>
      <c r="L314" s="19" t="str">
        <f t="shared" si="230"/>
        <v>FF</v>
      </c>
      <c r="M314" s="30" t="str">
        <f t="shared" si="231"/>
        <v>FF</v>
      </c>
      <c r="N314" s="22" t="str">
        <f t="shared" si="220"/>
        <v>ÿ</v>
      </c>
      <c r="O314" s="19" t="str">
        <f t="shared" si="221"/>
        <v>ÿ</v>
      </c>
      <c r="P314" s="19" t="str">
        <f t="shared" si="222"/>
        <v>ÿ</v>
      </c>
      <c r="Q314" s="61" t="str">
        <f t="shared" si="223"/>
        <v>ÿ</v>
      </c>
      <c r="R314" s="64" t="str">
        <f t="shared" si="187"/>
        <v>ÿÿÿÿ</v>
      </c>
    </row>
    <row r="315" spans="1:18" x14ac:dyDescent="0.25">
      <c r="A315" s="48"/>
      <c r="B315" s="55" t="str">
        <f>Brake!C18</f>
        <v>DEFAULT_RESERVED_BRAKE</v>
      </c>
      <c r="C315" s="51" t="str">
        <f>Brake!B18</f>
        <v>3FCE0</v>
      </c>
      <c r="D315" s="23">
        <f>Brake!D18</f>
        <v>4294967295</v>
      </c>
      <c r="E315" s="21" t="str">
        <f t="shared" si="214"/>
        <v>FFFFFFFF</v>
      </c>
      <c r="F315" s="31">
        <f t="shared" si="224"/>
        <v>255</v>
      </c>
      <c r="G315" s="18">
        <f t="shared" si="225"/>
        <v>255</v>
      </c>
      <c r="H315" s="18">
        <f t="shared" si="226"/>
        <v>255</v>
      </c>
      <c r="I315" s="32">
        <f t="shared" si="227"/>
        <v>255</v>
      </c>
      <c r="J315" s="31" t="str">
        <f t="shared" si="228"/>
        <v>FF</v>
      </c>
      <c r="K315" s="18" t="str">
        <f t="shared" si="229"/>
        <v>FF</v>
      </c>
      <c r="L315" s="18" t="str">
        <f t="shared" si="230"/>
        <v>FF</v>
      </c>
      <c r="M315" s="32" t="str">
        <f t="shared" si="231"/>
        <v>FF</v>
      </c>
      <c r="N315" s="23" t="str">
        <f t="shared" si="220"/>
        <v>ÿ</v>
      </c>
      <c r="O315" s="18" t="str">
        <f t="shared" si="221"/>
        <v>ÿ</v>
      </c>
      <c r="P315" s="18" t="str">
        <f t="shared" si="222"/>
        <v>ÿ</v>
      </c>
      <c r="Q315" s="65" t="str">
        <f t="shared" si="223"/>
        <v>ÿ</v>
      </c>
      <c r="R315" s="2" t="str">
        <f t="shared" si="187"/>
        <v>ÿÿÿÿ</v>
      </c>
    </row>
    <row r="316" spans="1:18" x14ac:dyDescent="0.25">
      <c r="A316" s="47"/>
      <c r="B316" s="56" t="str">
        <f>Brake!C19</f>
        <v>DEFAULT_RESERVED_BRAKE</v>
      </c>
      <c r="C316" s="52" t="str">
        <f>Brake!B19</f>
        <v>3FCE4</v>
      </c>
      <c r="D316" s="22">
        <f>Brake!D19</f>
        <v>4294967295</v>
      </c>
      <c r="E316" s="25" t="str">
        <f t="shared" si="214"/>
        <v>FFFFFFFF</v>
      </c>
      <c r="F316" s="29">
        <f t="shared" si="224"/>
        <v>255</v>
      </c>
      <c r="G316" s="19">
        <f t="shared" si="225"/>
        <v>255</v>
      </c>
      <c r="H316" s="19">
        <f t="shared" si="226"/>
        <v>255</v>
      </c>
      <c r="I316" s="30">
        <f t="shared" si="227"/>
        <v>255</v>
      </c>
      <c r="J316" s="29" t="str">
        <f t="shared" si="228"/>
        <v>FF</v>
      </c>
      <c r="K316" s="19" t="str">
        <f t="shared" si="229"/>
        <v>FF</v>
      </c>
      <c r="L316" s="19" t="str">
        <f t="shared" si="230"/>
        <v>FF</v>
      </c>
      <c r="M316" s="30" t="str">
        <f t="shared" si="231"/>
        <v>FF</v>
      </c>
      <c r="N316" s="22" t="str">
        <f t="shared" si="220"/>
        <v>ÿ</v>
      </c>
      <c r="O316" s="19" t="str">
        <f t="shared" si="221"/>
        <v>ÿ</v>
      </c>
      <c r="P316" s="19" t="str">
        <f t="shared" si="222"/>
        <v>ÿ</v>
      </c>
      <c r="Q316" s="61" t="str">
        <f t="shared" si="223"/>
        <v>ÿ</v>
      </c>
      <c r="R316" s="64" t="str">
        <f t="shared" si="187"/>
        <v>ÿÿÿÿ</v>
      </c>
    </row>
    <row r="317" spans="1:18" x14ac:dyDescent="0.25">
      <c r="A317" s="48"/>
      <c r="B317" s="55" t="str">
        <f>Brake!C20</f>
        <v>DEFAULT_RESERVED_BRAKE</v>
      </c>
      <c r="C317" s="51" t="str">
        <f>Brake!B20</f>
        <v>3FCE8</v>
      </c>
      <c r="D317" s="23">
        <f>Brake!D20</f>
        <v>4294967295</v>
      </c>
      <c r="E317" s="21" t="str">
        <f t="shared" si="214"/>
        <v>FFFFFFFF</v>
      </c>
      <c r="F317" s="31">
        <f t="shared" ref="F317:F330" si="232">IF(D317 &gt;= 0,TRUNC(D317/(2^24)),TRUNC((D317 + 2^32)/(2^24)))</f>
        <v>255</v>
      </c>
      <c r="G317" s="18">
        <f t="shared" ref="G317:G330" si="233">IF(D317&gt;=0,TRUNC((D317-(F317*2^24))/(2^16)),TRUNC(((D317+2^32)-(F317*2^24))/(2^16)))</f>
        <v>255</v>
      </c>
      <c r="H317" s="18">
        <f t="shared" ref="H317:H330" si="234">IF(D317&gt;=0,TRUNC((D317-((F317*2^24)+(G317*2^16)))/2^8),TRUNC(((D317 + 2^32)-((F317*2^24)+(G317*2^16)))/2^8))</f>
        <v>255</v>
      </c>
      <c r="I317" s="32">
        <f t="shared" ref="I317:I330" si="235">IF(D317&gt;=0,TRUNC((D317-((F317*2^24)+(G317*2^16)+(H317*2^8)))),TRUNC(((D317+2^32)-((F317*2^24)+(G317*2^16)+(H317*2^8)))))</f>
        <v>255</v>
      </c>
      <c r="J317" s="31" t="str">
        <f t="shared" ref="J317:J330" si="236">DEC2HEX(F317)</f>
        <v>FF</v>
      </c>
      <c r="K317" s="18" t="str">
        <f t="shared" ref="K317:K330" si="237">DEC2HEX(G317)</f>
        <v>FF</v>
      </c>
      <c r="L317" s="18" t="str">
        <f t="shared" ref="L317:L330" si="238">DEC2HEX(H317)</f>
        <v>FF</v>
      </c>
      <c r="M317" s="32" t="str">
        <f t="shared" ref="M317:M330" si="239">DEC2HEX(I317)</f>
        <v>FF</v>
      </c>
      <c r="N317" s="23" t="str">
        <f t="shared" si="220"/>
        <v>ÿ</v>
      </c>
      <c r="O317" s="18" t="str">
        <f t="shared" si="221"/>
        <v>ÿ</v>
      </c>
      <c r="P317" s="18" t="str">
        <f t="shared" si="222"/>
        <v>ÿ</v>
      </c>
      <c r="Q317" s="65" t="str">
        <f t="shared" si="223"/>
        <v>ÿ</v>
      </c>
      <c r="R317" s="2" t="str">
        <f t="shared" si="187"/>
        <v>ÿÿÿÿ</v>
      </c>
    </row>
    <row r="318" spans="1:18" x14ac:dyDescent="0.25">
      <c r="A318" s="47"/>
      <c r="B318" s="56" t="str">
        <f>Brake!C21</f>
        <v>DEFAULT_RESERVED_BRAKE</v>
      </c>
      <c r="C318" s="52" t="str">
        <f>Brake!B21</f>
        <v>3FCEC</v>
      </c>
      <c r="D318" s="22">
        <f>Brake!D21</f>
        <v>4294967295</v>
      </c>
      <c r="E318" s="25" t="str">
        <f t="shared" si="214"/>
        <v>FFFFFFFF</v>
      </c>
      <c r="F318" s="29">
        <f t="shared" si="232"/>
        <v>255</v>
      </c>
      <c r="G318" s="19">
        <f t="shared" si="233"/>
        <v>255</v>
      </c>
      <c r="H318" s="19">
        <f t="shared" si="234"/>
        <v>255</v>
      </c>
      <c r="I318" s="30">
        <f t="shared" si="235"/>
        <v>255</v>
      </c>
      <c r="J318" s="29" t="str">
        <f t="shared" si="236"/>
        <v>FF</v>
      </c>
      <c r="K318" s="19" t="str">
        <f t="shared" si="237"/>
        <v>FF</v>
      </c>
      <c r="L318" s="19" t="str">
        <f t="shared" si="238"/>
        <v>FF</v>
      </c>
      <c r="M318" s="30" t="str">
        <f t="shared" si="239"/>
        <v>FF</v>
      </c>
      <c r="N318" s="22" t="str">
        <f t="shared" si="220"/>
        <v>ÿ</v>
      </c>
      <c r="O318" s="19" t="str">
        <f t="shared" si="221"/>
        <v>ÿ</v>
      </c>
      <c r="P318" s="19" t="str">
        <f t="shared" si="222"/>
        <v>ÿ</v>
      </c>
      <c r="Q318" s="61" t="str">
        <f t="shared" si="223"/>
        <v>ÿ</v>
      </c>
      <c r="R318" s="64" t="str">
        <f t="shared" si="187"/>
        <v>ÿÿÿÿ</v>
      </c>
    </row>
    <row r="319" spans="1:18" x14ac:dyDescent="0.25">
      <c r="A319" s="48"/>
      <c r="B319" s="55" t="str">
        <f>Brake!C22</f>
        <v>DEFAULT_RESERVED_BRAKE</v>
      </c>
      <c r="C319" s="51" t="str">
        <f>Brake!B22</f>
        <v>3FCF0</v>
      </c>
      <c r="D319" s="23">
        <f>Brake!D22</f>
        <v>4294967295</v>
      </c>
      <c r="E319" s="21" t="str">
        <f t="shared" si="214"/>
        <v>FFFFFFFF</v>
      </c>
      <c r="F319" s="31">
        <f t="shared" si="232"/>
        <v>255</v>
      </c>
      <c r="G319" s="18">
        <f t="shared" si="233"/>
        <v>255</v>
      </c>
      <c r="H319" s="18">
        <f t="shared" si="234"/>
        <v>255</v>
      </c>
      <c r="I319" s="32">
        <f t="shared" si="235"/>
        <v>255</v>
      </c>
      <c r="J319" s="31" t="str">
        <f t="shared" si="236"/>
        <v>FF</v>
      </c>
      <c r="K319" s="18" t="str">
        <f t="shared" si="237"/>
        <v>FF</v>
      </c>
      <c r="L319" s="18" t="str">
        <f t="shared" si="238"/>
        <v>FF</v>
      </c>
      <c r="M319" s="32" t="str">
        <f t="shared" si="239"/>
        <v>FF</v>
      </c>
      <c r="N319" s="23" t="str">
        <f t="shared" si="220"/>
        <v>ÿ</v>
      </c>
      <c r="O319" s="18" t="str">
        <f t="shared" si="221"/>
        <v>ÿ</v>
      </c>
      <c r="P319" s="18" t="str">
        <f t="shared" si="222"/>
        <v>ÿ</v>
      </c>
      <c r="Q319" s="65" t="str">
        <f t="shared" si="223"/>
        <v>ÿ</v>
      </c>
      <c r="R319" s="2" t="str">
        <f t="shared" si="187"/>
        <v>ÿÿÿÿ</v>
      </c>
    </row>
    <row r="320" spans="1:18" x14ac:dyDescent="0.25">
      <c r="A320" s="47"/>
      <c r="B320" s="56" t="str">
        <f>Brake!C23</f>
        <v>DEFAULT_RESERVED_BRAKE</v>
      </c>
      <c r="C320" s="52" t="str">
        <f>Brake!B23</f>
        <v>3FCF4</v>
      </c>
      <c r="D320" s="22">
        <f>Brake!D23</f>
        <v>4294967295</v>
      </c>
      <c r="E320" s="25" t="str">
        <f t="shared" si="214"/>
        <v>FFFFFFFF</v>
      </c>
      <c r="F320" s="29">
        <f t="shared" si="232"/>
        <v>255</v>
      </c>
      <c r="G320" s="19">
        <f t="shared" si="233"/>
        <v>255</v>
      </c>
      <c r="H320" s="19">
        <f t="shared" si="234"/>
        <v>255</v>
      </c>
      <c r="I320" s="30">
        <f t="shared" si="235"/>
        <v>255</v>
      </c>
      <c r="J320" s="29" t="str">
        <f t="shared" si="236"/>
        <v>FF</v>
      </c>
      <c r="K320" s="19" t="str">
        <f t="shared" si="237"/>
        <v>FF</v>
      </c>
      <c r="L320" s="19" t="str">
        <f t="shared" si="238"/>
        <v>FF</v>
      </c>
      <c r="M320" s="30" t="str">
        <f t="shared" si="239"/>
        <v>FF</v>
      </c>
      <c r="N320" s="22" t="str">
        <f t="shared" si="220"/>
        <v>ÿ</v>
      </c>
      <c r="O320" s="19" t="str">
        <f t="shared" si="221"/>
        <v>ÿ</v>
      </c>
      <c r="P320" s="19" t="str">
        <f t="shared" si="222"/>
        <v>ÿ</v>
      </c>
      <c r="Q320" s="61" t="str">
        <f t="shared" si="223"/>
        <v>ÿ</v>
      </c>
      <c r="R320" s="64" t="str">
        <f t="shared" si="187"/>
        <v>ÿÿÿÿ</v>
      </c>
    </row>
    <row r="321" spans="1:18" x14ac:dyDescent="0.25">
      <c r="A321" s="48"/>
      <c r="B321" s="55" t="str">
        <f>Brake!C24</f>
        <v>DEFAULT_RESERVED_BRAKE</v>
      </c>
      <c r="C321" s="51" t="str">
        <f>Brake!B24</f>
        <v>3FCF8</v>
      </c>
      <c r="D321" s="23">
        <f>Brake!D24</f>
        <v>4294967295</v>
      </c>
      <c r="E321" s="21" t="str">
        <f t="shared" si="214"/>
        <v>FFFFFFFF</v>
      </c>
      <c r="F321" s="31">
        <f t="shared" si="232"/>
        <v>255</v>
      </c>
      <c r="G321" s="18">
        <f t="shared" si="233"/>
        <v>255</v>
      </c>
      <c r="H321" s="18">
        <f t="shared" si="234"/>
        <v>255</v>
      </c>
      <c r="I321" s="32">
        <f t="shared" si="235"/>
        <v>255</v>
      </c>
      <c r="J321" s="31" t="str">
        <f t="shared" si="236"/>
        <v>FF</v>
      </c>
      <c r="K321" s="18" t="str">
        <f t="shared" si="237"/>
        <v>FF</v>
      </c>
      <c r="L321" s="18" t="str">
        <f t="shared" si="238"/>
        <v>FF</v>
      </c>
      <c r="M321" s="32" t="str">
        <f t="shared" si="239"/>
        <v>FF</v>
      </c>
      <c r="N321" s="23" t="str">
        <f t="shared" si="220"/>
        <v>ÿ</v>
      </c>
      <c r="O321" s="18" t="str">
        <f t="shared" si="221"/>
        <v>ÿ</v>
      </c>
      <c r="P321" s="18" t="str">
        <f t="shared" si="222"/>
        <v>ÿ</v>
      </c>
      <c r="Q321" s="65" t="str">
        <f t="shared" si="223"/>
        <v>ÿ</v>
      </c>
      <c r="R321" s="2" t="str">
        <f t="shared" si="187"/>
        <v>ÿÿÿÿ</v>
      </c>
    </row>
    <row r="322" spans="1:18" x14ac:dyDescent="0.25">
      <c r="A322" s="47"/>
      <c r="B322" s="56" t="str">
        <f>Brake!C25</f>
        <v>DEFAULT_RESERVED_BRAKE</v>
      </c>
      <c r="C322" s="52" t="str">
        <f>Brake!B25</f>
        <v>3FCFC</v>
      </c>
      <c r="D322" s="22">
        <f>Brake!D25</f>
        <v>4294967295</v>
      </c>
      <c r="E322" s="25" t="str">
        <f t="shared" si="214"/>
        <v>FFFFFFFF</v>
      </c>
      <c r="F322" s="29">
        <f t="shared" si="232"/>
        <v>255</v>
      </c>
      <c r="G322" s="19">
        <f t="shared" si="233"/>
        <v>255</v>
      </c>
      <c r="H322" s="19">
        <f t="shared" si="234"/>
        <v>255</v>
      </c>
      <c r="I322" s="30">
        <f t="shared" si="235"/>
        <v>255</v>
      </c>
      <c r="J322" s="29" t="str">
        <f t="shared" si="236"/>
        <v>FF</v>
      </c>
      <c r="K322" s="19" t="str">
        <f t="shared" si="237"/>
        <v>FF</v>
      </c>
      <c r="L322" s="19" t="str">
        <f t="shared" si="238"/>
        <v>FF</v>
      </c>
      <c r="M322" s="30" t="str">
        <f t="shared" si="239"/>
        <v>FF</v>
      </c>
      <c r="N322" s="22" t="str">
        <f t="shared" si="220"/>
        <v>ÿ</v>
      </c>
      <c r="O322" s="19" t="str">
        <f t="shared" si="221"/>
        <v>ÿ</v>
      </c>
      <c r="P322" s="19" t="str">
        <f t="shared" si="222"/>
        <v>ÿ</v>
      </c>
      <c r="Q322" s="61" t="str">
        <f t="shared" si="223"/>
        <v>ÿ</v>
      </c>
      <c r="R322" s="64" t="str">
        <f t="shared" si="187"/>
        <v>ÿÿÿÿ</v>
      </c>
    </row>
    <row r="323" spans="1:18" x14ac:dyDescent="0.25">
      <c r="A323" s="48"/>
      <c r="B323" s="55" t="str">
        <f>Brake!C26</f>
        <v>DEFAULT_RESERVED_BRAKE</v>
      </c>
      <c r="C323" s="51" t="str">
        <f>Brake!B26</f>
        <v>3FD00</v>
      </c>
      <c r="D323" s="23">
        <f>Brake!D26</f>
        <v>4294967295</v>
      </c>
      <c r="E323" s="21" t="str">
        <f t="shared" si="214"/>
        <v>FFFFFFFF</v>
      </c>
      <c r="F323" s="31">
        <f t="shared" si="232"/>
        <v>255</v>
      </c>
      <c r="G323" s="18">
        <f t="shared" si="233"/>
        <v>255</v>
      </c>
      <c r="H323" s="18">
        <f t="shared" si="234"/>
        <v>255</v>
      </c>
      <c r="I323" s="32">
        <f t="shared" si="235"/>
        <v>255</v>
      </c>
      <c r="J323" s="31" t="str">
        <f t="shared" si="236"/>
        <v>FF</v>
      </c>
      <c r="K323" s="18" t="str">
        <f t="shared" si="237"/>
        <v>FF</v>
      </c>
      <c r="L323" s="18" t="str">
        <f t="shared" si="238"/>
        <v>FF</v>
      </c>
      <c r="M323" s="32" t="str">
        <f t="shared" si="239"/>
        <v>FF</v>
      </c>
      <c r="N323" s="23" t="str">
        <f t="shared" si="220"/>
        <v>ÿ</v>
      </c>
      <c r="O323" s="18" t="str">
        <f t="shared" si="221"/>
        <v>ÿ</v>
      </c>
      <c r="P323" s="18" t="str">
        <f t="shared" si="222"/>
        <v>ÿ</v>
      </c>
      <c r="Q323" s="65" t="str">
        <f t="shared" si="223"/>
        <v>ÿ</v>
      </c>
      <c r="R323" s="2" t="str">
        <f t="shared" si="187"/>
        <v>ÿÿÿÿ</v>
      </c>
    </row>
    <row r="324" spans="1:18" x14ac:dyDescent="0.25">
      <c r="A324" s="47"/>
      <c r="B324" s="56" t="str">
        <f>Brake!C27</f>
        <v>DEFAULT_RESERVED_BRAKE</v>
      </c>
      <c r="C324" s="52" t="str">
        <f>Brake!B27</f>
        <v>3FD04</v>
      </c>
      <c r="D324" s="22">
        <f>Brake!D27</f>
        <v>4294967295</v>
      </c>
      <c r="E324" s="25" t="str">
        <f t="shared" si="214"/>
        <v>FFFFFFFF</v>
      </c>
      <c r="F324" s="29">
        <f t="shared" si="232"/>
        <v>255</v>
      </c>
      <c r="G324" s="19">
        <f t="shared" si="233"/>
        <v>255</v>
      </c>
      <c r="H324" s="19">
        <f t="shared" si="234"/>
        <v>255</v>
      </c>
      <c r="I324" s="30">
        <f t="shared" si="235"/>
        <v>255</v>
      </c>
      <c r="J324" s="29" t="str">
        <f t="shared" si="236"/>
        <v>FF</v>
      </c>
      <c r="K324" s="19" t="str">
        <f t="shared" si="237"/>
        <v>FF</v>
      </c>
      <c r="L324" s="19" t="str">
        <f t="shared" si="238"/>
        <v>FF</v>
      </c>
      <c r="M324" s="30" t="str">
        <f t="shared" si="239"/>
        <v>FF</v>
      </c>
      <c r="N324" s="22" t="str">
        <f t="shared" si="220"/>
        <v>ÿ</v>
      </c>
      <c r="O324" s="19" t="str">
        <f t="shared" si="221"/>
        <v>ÿ</v>
      </c>
      <c r="P324" s="19" t="str">
        <f t="shared" si="222"/>
        <v>ÿ</v>
      </c>
      <c r="Q324" s="61" t="str">
        <f t="shared" si="223"/>
        <v>ÿ</v>
      </c>
      <c r="R324" s="64" t="str">
        <f t="shared" si="187"/>
        <v>ÿÿÿÿ</v>
      </c>
    </row>
    <row r="325" spans="1:18" x14ac:dyDescent="0.25">
      <c r="A325" s="48"/>
      <c r="B325" s="55" t="str">
        <f>Brake!C28</f>
        <v>DEFAULT_RESERVED_BRAKE</v>
      </c>
      <c r="C325" s="51" t="str">
        <f>Brake!B28</f>
        <v>3FD08</v>
      </c>
      <c r="D325" s="23">
        <f>Brake!D28</f>
        <v>4294967295</v>
      </c>
      <c r="E325" s="21" t="str">
        <f t="shared" si="214"/>
        <v>FFFFFFFF</v>
      </c>
      <c r="F325" s="31">
        <f t="shared" si="232"/>
        <v>255</v>
      </c>
      <c r="G325" s="18">
        <f t="shared" si="233"/>
        <v>255</v>
      </c>
      <c r="H325" s="18">
        <f t="shared" si="234"/>
        <v>255</v>
      </c>
      <c r="I325" s="32">
        <f t="shared" si="235"/>
        <v>255</v>
      </c>
      <c r="J325" s="31" t="str">
        <f t="shared" si="236"/>
        <v>FF</v>
      </c>
      <c r="K325" s="18" t="str">
        <f t="shared" si="237"/>
        <v>FF</v>
      </c>
      <c r="L325" s="18" t="str">
        <f t="shared" si="238"/>
        <v>FF</v>
      </c>
      <c r="M325" s="32" t="str">
        <f t="shared" si="239"/>
        <v>FF</v>
      </c>
      <c r="N325" s="23" t="str">
        <f t="shared" si="220"/>
        <v>ÿ</v>
      </c>
      <c r="O325" s="18" t="str">
        <f t="shared" si="221"/>
        <v>ÿ</v>
      </c>
      <c r="P325" s="18" t="str">
        <f t="shared" si="222"/>
        <v>ÿ</v>
      </c>
      <c r="Q325" s="65" t="str">
        <f t="shared" si="223"/>
        <v>ÿ</v>
      </c>
      <c r="R325" s="2" t="str">
        <f t="shared" si="187"/>
        <v>ÿÿÿÿ</v>
      </c>
    </row>
    <row r="326" spans="1:18" x14ac:dyDescent="0.25">
      <c r="A326" s="47"/>
      <c r="B326" s="56" t="str">
        <f>Brake!C29</f>
        <v>DEFAULT_RESERVED_BRAKE</v>
      </c>
      <c r="C326" s="52" t="str">
        <f>Brake!B29</f>
        <v>3FD0C</v>
      </c>
      <c r="D326" s="22">
        <f>Brake!D29</f>
        <v>4294967295</v>
      </c>
      <c r="E326" s="25" t="str">
        <f t="shared" si="214"/>
        <v>FFFFFFFF</v>
      </c>
      <c r="F326" s="29">
        <f t="shared" si="232"/>
        <v>255</v>
      </c>
      <c r="G326" s="19">
        <f t="shared" si="233"/>
        <v>255</v>
      </c>
      <c r="H326" s="19">
        <f t="shared" si="234"/>
        <v>255</v>
      </c>
      <c r="I326" s="30">
        <f t="shared" si="235"/>
        <v>255</v>
      </c>
      <c r="J326" s="29" t="str">
        <f t="shared" si="236"/>
        <v>FF</v>
      </c>
      <c r="K326" s="19" t="str">
        <f t="shared" si="237"/>
        <v>FF</v>
      </c>
      <c r="L326" s="19" t="str">
        <f t="shared" si="238"/>
        <v>FF</v>
      </c>
      <c r="M326" s="30" t="str">
        <f t="shared" si="239"/>
        <v>FF</v>
      </c>
      <c r="N326" s="22" t="str">
        <f t="shared" si="220"/>
        <v>ÿ</v>
      </c>
      <c r="O326" s="19" t="str">
        <f t="shared" si="221"/>
        <v>ÿ</v>
      </c>
      <c r="P326" s="19" t="str">
        <f t="shared" si="222"/>
        <v>ÿ</v>
      </c>
      <c r="Q326" s="61" t="str">
        <f t="shared" si="223"/>
        <v>ÿ</v>
      </c>
      <c r="R326" s="64" t="str">
        <f t="shared" si="187"/>
        <v>ÿÿÿÿ</v>
      </c>
    </row>
    <row r="327" spans="1:18" x14ac:dyDescent="0.25">
      <c r="A327" s="48"/>
      <c r="B327" s="55" t="str">
        <f>Brake!C30</f>
        <v>DEFAULT_RESERVED_BRAKE</v>
      </c>
      <c r="C327" s="51" t="str">
        <f>Brake!B30</f>
        <v>3FD10</v>
      </c>
      <c r="D327" s="23">
        <f>Brake!D30</f>
        <v>4294967295</v>
      </c>
      <c r="E327" s="21" t="str">
        <f t="shared" si="214"/>
        <v>FFFFFFFF</v>
      </c>
      <c r="F327" s="31">
        <f t="shared" si="232"/>
        <v>255</v>
      </c>
      <c r="G327" s="18">
        <f t="shared" si="233"/>
        <v>255</v>
      </c>
      <c r="H327" s="18">
        <f t="shared" si="234"/>
        <v>255</v>
      </c>
      <c r="I327" s="32">
        <f t="shared" si="235"/>
        <v>255</v>
      </c>
      <c r="J327" s="31" t="str">
        <f t="shared" si="236"/>
        <v>FF</v>
      </c>
      <c r="K327" s="18" t="str">
        <f t="shared" si="237"/>
        <v>FF</v>
      </c>
      <c r="L327" s="18" t="str">
        <f t="shared" si="238"/>
        <v>FF</v>
      </c>
      <c r="M327" s="32" t="str">
        <f t="shared" si="239"/>
        <v>FF</v>
      </c>
      <c r="N327" s="23" t="str">
        <f t="shared" si="220"/>
        <v>ÿ</v>
      </c>
      <c r="O327" s="18" t="str">
        <f t="shared" si="221"/>
        <v>ÿ</v>
      </c>
      <c r="P327" s="18" t="str">
        <f t="shared" si="222"/>
        <v>ÿ</v>
      </c>
      <c r="Q327" s="65" t="str">
        <f t="shared" si="223"/>
        <v>ÿ</v>
      </c>
      <c r="R327" s="2" t="str">
        <f t="shared" si="187"/>
        <v>ÿÿÿÿ</v>
      </c>
    </row>
    <row r="328" spans="1:18" x14ac:dyDescent="0.25">
      <c r="A328" s="47"/>
      <c r="B328" s="56" t="str">
        <f>Brake!C31</f>
        <v>DEFAULT_RESERVED_BRAKE</v>
      </c>
      <c r="C328" s="52" t="str">
        <f>Brake!B31</f>
        <v>3FD14</v>
      </c>
      <c r="D328" s="22">
        <f>Brake!D31</f>
        <v>4294967295</v>
      </c>
      <c r="E328" s="25" t="str">
        <f t="shared" si="214"/>
        <v>FFFFFFFF</v>
      </c>
      <c r="F328" s="29">
        <f t="shared" si="232"/>
        <v>255</v>
      </c>
      <c r="G328" s="19">
        <f t="shared" si="233"/>
        <v>255</v>
      </c>
      <c r="H328" s="19">
        <f t="shared" si="234"/>
        <v>255</v>
      </c>
      <c r="I328" s="30">
        <f t="shared" si="235"/>
        <v>255</v>
      </c>
      <c r="J328" s="29" t="str">
        <f t="shared" si="236"/>
        <v>FF</v>
      </c>
      <c r="K328" s="19" t="str">
        <f t="shared" si="237"/>
        <v>FF</v>
      </c>
      <c r="L328" s="19" t="str">
        <f t="shared" si="238"/>
        <v>FF</v>
      </c>
      <c r="M328" s="30" t="str">
        <f t="shared" si="239"/>
        <v>FF</v>
      </c>
      <c r="N328" s="22" t="str">
        <f t="shared" si="220"/>
        <v>ÿ</v>
      </c>
      <c r="O328" s="19" t="str">
        <f t="shared" si="221"/>
        <v>ÿ</v>
      </c>
      <c r="P328" s="19" t="str">
        <f t="shared" si="222"/>
        <v>ÿ</v>
      </c>
      <c r="Q328" s="61" t="str">
        <f t="shared" si="223"/>
        <v>ÿ</v>
      </c>
      <c r="R328" s="64" t="str">
        <f t="shared" si="187"/>
        <v>ÿÿÿÿ</v>
      </c>
    </row>
    <row r="329" spans="1:18" x14ac:dyDescent="0.25">
      <c r="A329" s="48"/>
      <c r="B329" s="55" t="str">
        <f>Brake!C32</f>
        <v>DEFAULT_RESERVED_BRAKE</v>
      </c>
      <c r="C329" s="51" t="str">
        <f>Brake!B32</f>
        <v>3FD18</v>
      </c>
      <c r="D329" s="23">
        <f>Brake!D32</f>
        <v>4294967295</v>
      </c>
      <c r="E329" s="21" t="str">
        <f t="shared" si="214"/>
        <v>FFFFFFFF</v>
      </c>
      <c r="F329" s="31">
        <f t="shared" si="232"/>
        <v>255</v>
      </c>
      <c r="G329" s="18">
        <f t="shared" si="233"/>
        <v>255</v>
      </c>
      <c r="H329" s="18">
        <f t="shared" si="234"/>
        <v>255</v>
      </c>
      <c r="I329" s="32">
        <f t="shared" si="235"/>
        <v>255</v>
      </c>
      <c r="J329" s="31" t="str">
        <f t="shared" si="236"/>
        <v>FF</v>
      </c>
      <c r="K329" s="18" t="str">
        <f t="shared" si="237"/>
        <v>FF</v>
      </c>
      <c r="L329" s="18" t="str">
        <f t="shared" si="238"/>
        <v>FF</v>
      </c>
      <c r="M329" s="32" t="str">
        <f t="shared" si="239"/>
        <v>FF</v>
      </c>
      <c r="N329" s="22" t="str">
        <f t="shared" si="220"/>
        <v>ÿ</v>
      </c>
      <c r="O329" s="19" t="str">
        <f t="shared" si="221"/>
        <v>ÿ</v>
      </c>
      <c r="P329" s="19" t="str">
        <f t="shared" si="222"/>
        <v>ÿ</v>
      </c>
      <c r="Q329" s="61" t="str">
        <f t="shared" si="223"/>
        <v>ÿ</v>
      </c>
      <c r="R329" s="2" t="str">
        <f t="shared" si="187"/>
        <v>ÿÿÿÿ</v>
      </c>
    </row>
    <row r="330" spans="1:18" ht="15.75" thickBot="1" x14ac:dyDescent="0.3">
      <c r="A330" s="47"/>
      <c r="B330" s="58" t="str">
        <f>Brake!C33</f>
        <v>DEFAULT_RESERVED_BRAKE</v>
      </c>
      <c r="C330" s="53" t="str">
        <f>Brake!B33</f>
        <v>3FD1C</v>
      </c>
      <c r="D330" s="42">
        <f>Brake!D33</f>
        <v>4294967295</v>
      </c>
      <c r="E330" s="43" t="str">
        <f t="shared" si="214"/>
        <v>FFFFFFFF</v>
      </c>
      <c r="F330" s="44">
        <f t="shared" si="232"/>
        <v>255</v>
      </c>
      <c r="G330" s="45">
        <f t="shared" si="233"/>
        <v>255</v>
      </c>
      <c r="H330" s="45">
        <f t="shared" si="234"/>
        <v>255</v>
      </c>
      <c r="I330" s="46">
        <f t="shared" si="235"/>
        <v>255</v>
      </c>
      <c r="J330" s="44" t="str">
        <f t="shared" si="236"/>
        <v>FF</v>
      </c>
      <c r="K330" s="45" t="str">
        <f t="shared" si="237"/>
        <v>FF</v>
      </c>
      <c r="L330" s="45" t="str">
        <f t="shared" si="238"/>
        <v>FF</v>
      </c>
      <c r="M330" s="46" t="str">
        <f t="shared" si="239"/>
        <v>FF</v>
      </c>
      <c r="N330" s="62" t="str">
        <f t="shared" si="220"/>
        <v>ÿ</v>
      </c>
      <c r="O330" s="62" t="str">
        <f t="shared" si="221"/>
        <v>ÿ</v>
      </c>
      <c r="P330" s="62" t="str">
        <f t="shared" si="222"/>
        <v>ÿ</v>
      </c>
      <c r="Q330" s="63" t="str">
        <f t="shared" si="223"/>
        <v>ÿ</v>
      </c>
      <c r="R330" s="64" t="str">
        <f t="shared" si="187"/>
        <v>ÿÿÿÿ</v>
      </c>
    </row>
    <row r="331" spans="1:18" x14ac:dyDescent="0.25">
      <c r="B331" s="5"/>
      <c r="E331" s="10"/>
      <c r="J331" s="10"/>
      <c r="N331" s="10"/>
    </row>
    <row r="332" spans="1:18" x14ac:dyDescent="0.25">
      <c r="B332" s="5"/>
      <c r="E332" s="10"/>
      <c r="J332" s="10"/>
      <c r="N332" s="10"/>
    </row>
    <row r="333" spans="1:18" x14ac:dyDescent="0.25">
      <c r="B333" s="5"/>
      <c r="E333" s="10"/>
      <c r="J333" s="10"/>
      <c r="N333" s="10"/>
    </row>
    <row r="334" spans="1:18" x14ac:dyDescent="0.25">
      <c r="B334" s="5"/>
      <c r="E334" s="10"/>
      <c r="J334" s="10"/>
      <c r="N334" s="10"/>
    </row>
    <row r="335" spans="1:18" x14ac:dyDescent="0.25">
      <c r="B335" s="5"/>
      <c r="E335" s="10"/>
      <c r="J335" s="10"/>
      <c r="N335" s="10"/>
    </row>
  </sheetData>
  <mergeCells count="3">
    <mergeCell ref="F2:I2"/>
    <mergeCell ref="J2:M2"/>
    <mergeCell ref="N2:Q2"/>
  </mergeCells>
  <pageMargins left="0.7" right="0.7" top="0.75" bottom="0.75" header="0.3" footer="0.3"/>
  <pageSetup paperSize="256" scale="94"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F12"/>
  <sheetViews>
    <sheetView workbookViewId="0">
      <selection activeCell="F15" sqref="F15"/>
    </sheetView>
  </sheetViews>
  <sheetFormatPr defaultRowHeight="15" x14ac:dyDescent="0.25"/>
  <cols>
    <col min="1" max="1" width="13.28515625" style="2" customWidth="1"/>
    <col min="2" max="2" width="14" style="8" customWidth="1"/>
    <col min="3" max="3" width="12.85546875" style="7" customWidth="1"/>
    <col min="4" max="4" width="14.140625" customWidth="1"/>
    <col min="5" max="5" width="11.5703125" customWidth="1"/>
    <col min="6" max="6" width="25.7109375" customWidth="1"/>
  </cols>
  <sheetData>
    <row r="1" spans="1:6" x14ac:dyDescent="0.25">
      <c r="A1" s="2" t="s">
        <v>67</v>
      </c>
      <c r="B1" s="8" t="s">
        <v>101</v>
      </c>
      <c r="C1" s="7" t="s">
        <v>102</v>
      </c>
      <c r="D1" s="8" t="s">
        <v>101</v>
      </c>
      <c r="E1" s="7" t="s">
        <v>102</v>
      </c>
    </row>
    <row r="2" spans="1:6" x14ac:dyDescent="0.25">
      <c r="A2" s="2" t="s">
        <v>105</v>
      </c>
      <c r="B2" s="8" t="s">
        <v>107</v>
      </c>
      <c r="C2" s="7" t="s">
        <v>107</v>
      </c>
      <c r="D2" t="s">
        <v>108</v>
      </c>
      <c r="E2" t="s">
        <v>108</v>
      </c>
    </row>
    <row r="3" spans="1:6" x14ac:dyDescent="0.25">
      <c r="A3" s="2">
        <v>64</v>
      </c>
      <c r="B3" s="8">
        <f>B11</f>
        <v>260096</v>
      </c>
      <c r="C3" s="7">
        <f>B3+A3 -1</f>
        <v>260159</v>
      </c>
      <c r="D3" t="str">
        <f t="shared" ref="D3:E9" si="0">DEC2HEX(B3)</f>
        <v>3F800</v>
      </c>
      <c r="E3" t="str">
        <f t="shared" si="0"/>
        <v>3F83F</v>
      </c>
      <c r="F3" t="s">
        <v>123</v>
      </c>
    </row>
    <row r="4" spans="1:6" x14ac:dyDescent="0.25">
      <c r="A4" s="2">
        <v>480</v>
      </c>
      <c r="B4" s="8">
        <f t="shared" ref="B4:B9" si="1">C3+1</f>
        <v>260160</v>
      </c>
      <c r="C4" s="7">
        <f>B4+A4 -1</f>
        <v>260639</v>
      </c>
      <c r="D4" t="str">
        <f t="shared" si="0"/>
        <v>3F840</v>
      </c>
      <c r="E4" t="str">
        <f t="shared" si="0"/>
        <v>3FA1F</v>
      </c>
      <c r="F4" t="s">
        <v>42</v>
      </c>
    </row>
    <row r="5" spans="1:6" x14ac:dyDescent="0.25">
      <c r="A5" s="2">
        <v>128</v>
      </c>
      <c r="B5" s="8">
        <f t="shared" si="1"/>
        <v>260640</v>
      </c>
      <c r="C5" s="7">
        <f>B5+A5 -1</f>
        <v>260767</v>
      </c>
      <c r="D5" t="str">
        <f t="shared" si="0"/>
        <v>3FA20</v>
      </c>
      <c r="E5" t="str">
        <f t="shared" si="0"/>
        <v>3FA9F</v>
      </c>
      <c r="F5" t="s">
        <v>43</v>
      </c>
    </row>
    <row r="6" spans="1:6" x14ac:dyDescent="0.25">
      <c r="A6" s="2">
        <v>256</v>
      </c>
      <c r="B6" s="8">
        <f t="shared" si="1"/>
        <v>260768</v>
      </c>
      <c r="C6" s="7">
        <f>B6+A6-1</f>
        <v>261023</v>
      </c>
      <c r="D6" t="str">
        <f t="shared" si="0"/>
        <v>3FAA0</v>
      </c>
      <c r="E6" t="str">
        <f t="shared" si="0"/>
        <v>3FB9F</v>
      </c>
      <c r="F6" t="s">
        <v>44</v>
      </c>
    </row>
    <row r="7" spans="1:6" x14ac:dyDescent="0.25">
      <c r="A7" s="2">
        <v>128</v>
      </c>
      <c r="B7" s="8">
        <f t="shared" si="1"/>
        <v>261024</v>
      </c>
      <c r="C7" s="7">
        <f>B7+A7-1</f>
        <v>261151</v>
      </c>
      <c r="D7" t="str">
        <f t="shared" si="0"/>
        <v>3FBA0</v>
      </c>
      <c r="E7" t="str">
        <f t="shared" si="0"/>
        <v>3FC1F</v>
      </c>
      <c r="F7" t="s">
        <v>45</v>
      </c>
    </row>
    <row r="8" spans="1:6" x14ac:dyDescent="0.25">
      <c r="A8" s="2">
        <v>128</v>
      </c>
      <c r="B8" s="8">
        <f t="shared" si="1"/>
        <v>261152</v>
      </c>
      <c r="C8" s="7">
        <f>B8+A8-1</f>
        <v>261279</v>
      </c>
      <c r="D8" t="str">
        <f t="shared" si="0"/>
        <v>3FC20</v>
      </c>
      <c r="E8" t="str">
        <f t="shared" si="0"/>
        <v>3FC9F</v>
      </c>
      <c r="F8" t="s">
        <v>46</v>
      </c>
    </row>
    <row r="9" spans="1:6" ht="15.75" thickBot="1" x14ac:dyDescent="0.3">
      <c r="A9" s="91">
        <v>128</v>
      </c>
      <c r="B9" s="8">
        <f t="shared" si="1"/>
        <v>261280</v>
      </c>
      <c r="C9" s="7">
        <f>B9+A9-1</f>
        <v>261407</v>
      </c>
      <c r="D9" t="str">
        <f t="shared" si="0"/>
        <v>3FCA0</v>
      </c>
      <c r="E9" t="str">
        <f t="shared" si="0"/>
        <v>3FD1F</v>
      </c>
      <c r="F9" t="s">
        <v>47</v>
      </c>
    </row>
    <row r="10" spans="1:6" ht="15.75" thickTop="1" x14ac:dyDescent="0.25">
      <c r="A10" s="2">
        <f>SUM(A3:A9)</f>
        <v>1312</v>
      </c>
    </row>
    <row r="11" spans="1:6" x14ac:dyDescent="0.25">
      <c r="A11" s="2" t="s">
        <v>100</v>
      </c>
      <c r="B11" s="7">
        <v>260096</v>
      </c>
    </row>
    <row r="12" spans="1:6" x14ac:dyDescent="0.25">
      <c r="B12" s="7" t="str">
        <f>DEC2HEX(B11)</f>
        <v>3F800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Configured Model</vt:lpstr>
      <vt:lpstr>Motor</vt:lpstr>
      <vt:lpstr>Sensor</vt:lpstr>
      <vt:lpstr>Drive</vt:lpstr>
      <vt:lpstr>Lead</vt:lpstr>
      <vt:lpstr>GearBox</vt:lpstr>
      <vt:lpstr>Brake</vt:lpstr>
      <vt:lpstr>Header</vt:lpstr>
      <vt:lpstr>Binary File</vt:lpstr>
      <vt:lpstr>Memory  Map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Mike Tetmeyer</dc:creator>
  <cp:lastModifiedBy>Mike Tetmeyer</cp:lastModifiedBy>
  <cp:lastPrinted>2018-04-23T15:58:01Z</cp:lastPrinted>
  <dcterms:created xsi:type="dcterms:W3CDTF">2018-03-26T12:15:13Z</dcterms:created>
  <dcterms:modified xsi:type="dcterms:W3CDTF">2024-02-01T18:37:37Z</dcterms:modified>
</cp:coreProperties>
</file>