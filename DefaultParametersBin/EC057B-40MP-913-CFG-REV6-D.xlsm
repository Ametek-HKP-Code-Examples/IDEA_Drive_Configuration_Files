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0" documentId="8_{1A2FBFD7-6254-4495-868E-3757291C98C4}" xr6:coauthVersionLast="47" xr6:coauthVersionMax="47" xr10:uidLastSave="{00000000-0000-0000-0000-000000000000}"/>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N226" i="12"/>
  <c r="F224" i="12"/>
  <c r="E225" i="12"/>
  <c r="F228" i="12"/>
  <c r="J225" i="12"/>
  <c r="J226" i="12" l="1"/>
  <c r="G225" i="12"/>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B319" i="10" s="1"/>
  <c r="D325" i="12"/>
  <c r="F325" i="12" s="1"/>
  <c r="B325" i="12"/>
  <c r="B318" i="10" s="1"/>
  <c r="D324" i="12"/>
  <c r="F324" i="12" s="1"/>
  <c r="B324" i="12"/>
  <c r="B317" i="10" s="1"/>
  <c r="D323" i="12"/>
  <c r="B323" i="12"/>
  <c r="D322" i="12"/>
  <c r="B322" i="12"/>
  <c r="B315" i="10" s="1"/>
  <c r="D321" i="12"/>
  <c r="F321" i="12" s="1"/>
  <c r="B321" i="12"/>
  <c r="B314" i="10" s="1"/>
  <c r="D320" i="12"/>
  <c r="B320" i="12"/>
  <c r="B313" i="10" s="1"/>
  <c r="D319" i="12"/>
  <c r="B319" i="12"/>
  <c r="B312" i="10" s="1"/>
  <c r="D318" i="12"/>
  <c r="E318" i="12" s="1"/>
  <c r="B318" i="12"/>
  <c r="B311" i="10" s="1"/>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B303" i="10" s="1"/>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6" i="10"/>
  <c r="B310"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s="1"/>
  <c r="C4" i="12" s="1"/>
  <c r="C3" i="10" s="1"/>
  <c r="B2" i="13"/>
  <c r="C3" i="12" s="1"/>
  <c r="C2" i="10" s="1"/>
  <c r="H223" i="12" l="1"/>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K295"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G193" i="12" l="1"/>
  <c r="K193" i="12" s="1"/>
  <c r="H262" i="12"/>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O114" i="12"/>
  <c r="I92" i="12"/>
  <c r="Q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H138" i="12" s="1"/>
  <c r="N158" i="12"/>
  <c r="G158" i="12"/>
  <c r="N110" i="12"/>
  <c r="G110" i="12"/>
  <c r="H256" i="12"/>
  <c r="N66" i="12"/>
  <c r="J66"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P114" i="12"/>
  <c r="L114" i="12"/>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74"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I114"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H33" i="12"/>
  <c r="I33" i="12" s="1"/>
  <c r="N25" i="12"/>
  <c r="J25" i="12"/>
  <c r="H25" i="12"/>
  <c r="I25" i="12" s="1"/>
  <c r="N22" i="12"/>
  <c r="J22" i="12"/>
  <c r="G22" i="12"/>
  <c r="H22" i="12" s="1"/>
  <c r="G11" i="12"/>
  <c r="R92" i="12" l="1"/>
  <c r="I47" i="12"/>
  <c r="P47" i="12"/>
  <c r="L108" i="12"/>
  <c r="I166" i="12"/>
  <c r="I233" i="12"/>
  <c r="Q233" i="12" s="1"/>
  <c r="P108" i="12"/>
  <c r="R108" i="12" s="1"/>
  <c r="M108" i="12"/>
  <c r="I43" i="12"/>
  <c r="M43" i="12" s="1"/>
  <c r="K90" i="12"/>
  <c r="L295" i="12"/>
  <c r="M193" i="12"/>
  <c r="Q160" i="12"/>
  <c r="O160" i="12"/>
  <c r="P150" i="12"/>
  <c r="R193" i="12"/>
  <c r="O60" i="12"/>
  <c r="K272" i="12"/>
  <c r="L160" i="12"/>
  <c r="O330" i="12"/>
  <c r="H330" i="12"/>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274" i="12"/>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R183" i="12" s="1"/>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P330" i="12"/>
  <c r="L330"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R104" i="12" s="1"/>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R308" i="12" s="1"/>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I330"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M233" i="12" l="1"/>
  <c r="R233" i="12"/>
  <c r="Q100" i="12"/>
  <c r="R100" i="12" s="1"/>
  <c r="P32" i="12"/>
  <c r="M203" i="12"/>
  <c r="R150" i="12"/>
  <c r="M166" i="12"/>
  <c r="Q166" i="12"/>
  <c r="R166" i="12" s="1"/>
  <c r="R160" i="12"/>
  <c r="I32" i="12"/>
  <c r="Q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322" i="12" l="1"/>
  <c r="R32" i="12"/>
  <c r="M32" i="12"/>
  <c r="R22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M320" i="12"/>
  <c r="Q320" i="12"/>
  <c r="R320" i="12" s="1"/>
  <c r="Q261" i="12"/>
  <c r="R261" i="12" s="1"/>
  <c r="M261" i="12"/>
  <c r="M197" i="12"/>
  <c r="Q197" i="12"/>
  <c r="R197" i="12" s="1"/>
  <c r="Q118" i="12"/>
  <c r="R118" i="12" s="1"/>
  <c r="M118" i="12"/>
  <c r="Q328" i="12"/>
  <c r="R328" i="12" s="1"/>
  <c r="M328" i="12"/>
  <c r="R126" i="12"/>
  <c r="R319"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R306" i="12" s="1"/>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<sst xmlns="http://schemas.openxmlformats.org/spreadsheetml/2006/main" count="735" uniqueCount="207">
  <si>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</si>
  <si>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</si>
  <si>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</si>
  <si>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</si>
  <si>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</si>
  <si>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</si>
  <si>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</si>
  <si>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</si>
  <si>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</si>
  <si>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</si>
  <si>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</si>
  <si>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</si>
  <si>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</si>
  <si>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</si>
  <si>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</si>
  <si>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</si>
  <si>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</si>
  <si>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</si>
  <si>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</si>
  <si>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</si>
  <si>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</si>
  <si>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</si>
  <si>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</si>
  <si>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</si>
  <si>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</si>
  <si>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</si>
  <si>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</si>
  <si>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</si>
  <si>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</si>
  <si>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</si>
  <si>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</si>
  <si>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</si>
  <si>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</si>
  <si>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</si>
  <si>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</si>
  <si>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</si>
  <si>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</si>
  <si>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</si>
  <si>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</si>
  <si>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</si>
  <si>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</si>
  <si>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</si>
  <si>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</si>
  <si>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</si>
  <si>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</si>
  <si>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</si>
  <si>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</si>
  <si>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</si>
  <si>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</si>
  <si>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</si>
  <si>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</si>
  <si>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</si>
  <si>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</si>
  <si>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</si>
  <si>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</si>
  <si>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</si>
  <si>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</si>
  <si>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</si>
  <si>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</si>
  <si>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</si>
  <si>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</si>
  <si>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</si>
  <si>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</si>
  <si>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</si>
  <si>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</si>
  <si>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</si>
  <si>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</si>
  <si>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</si>
  <si>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</si>
  <si>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</si>
  <si>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</si>
  <si>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</si>
  <si>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</si>
  <si>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</si>
  <si>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</si>
  <si>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</si>
  <si>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</si>
  <si>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</si>
  <si>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</si>
  <si>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</si>
  <si>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</si>
  <si>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</si>
  <si>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</si>
  <si>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</si>
  <si>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</si>
  <si>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</si>
  <si>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</si>
  <si>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</si>
  <si>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</si>
  <si>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</si>
  <si>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</si>
  <si>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</si>
  <si>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</si>
  <si>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</si>
  <si>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</si>
  <si>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</si>
  <si>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</si>
  <si>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</si>
  <si>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</si>
  <si>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</si>
  <si>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</si>
  <si>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</si>
  <si>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</si>
  <si>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</si>
  <si>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</si>
  <si>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</si>
  <si>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</si>
  <si>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</si>
  <si>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</si>
  <si>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</si>
  <si>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</si>
  <si>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</si>
  <si>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</si>
  <si>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</si>
  <si>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</si>
  <si>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</si>
  <si>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</si>
  <si>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</si>
  <si>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</si>
  <si>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</si>
  <si>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</si>
  <si>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</si>
  <si>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</si>
  <si>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</si>
  <si>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</si>
  <si>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</si>
  <si>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</si>
  <si>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</si>
  <si>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</si>
  <si>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</si>
  <si>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</si>
  <si>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</si>
  <si>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</si>
  <si>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</si>
  <si>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</si>
  <si>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</si>
  <si>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</si>
  <si>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</si>
  <si>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</si>
  <si>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</si>
  <si>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</si>
  <si>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</si>
  <si>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</si>
  <si>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</si>
  <si>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</si>
  <si>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</si>
  <si>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</si>
  <si>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</si>
  <si>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</si>
  <si>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</si>
  <si>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</si>
  <si>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</si>
  <si>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</si>
  <si>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</si>
  <si>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</si>
  <si>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</si>
  <si>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</si>
  <si>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</si>
  <si>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</si>
  <si>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</si>
  <si>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</si>
  <si>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</si>
  <si>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</si>
  <si>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</si>
  <si>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</si>
  <si>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</si>
  <si>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</si>
  <si>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</si>
  <si>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</si>
  <si>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</si>
  <si>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</si>
  <si>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</si>
  <si>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</si>
  <si>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</si>
  <si>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</si>
  <si>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</si>
  <si>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</si>
  <si>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</si>
  <si>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</si>
  <si>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</si>
  <si>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</si>
  <si>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</si>
  <si>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</si>
  <si>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</si>
  <si>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</si>
  <si>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</si>
  <si>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</si>
  <si>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</si>
  <si>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</si>
  <si>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</si>
  <si>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</si>
  <si>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</si>
  <si>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</si>
  <si>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</si>
  <si>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</si>
  <si>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</si>
  <si>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</si>
  <si>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</si>
  <si>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</si>
  <si>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</si>
  <si>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</si>
  <si>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</si>
  <si>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EC05</t>
  </si>
  <si>
    <t>913-</t>
  </si>
  <si>
    <t>803</t>
  </si>
  <si>
    <t>7B-4</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</si>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</sst>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D7" sqref="D7"/>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202</v>
      </c>
      <c r="E3" s="2">
        <v>0</v>
      </c>
      <c r="F3" s="2">
        <v>4294967296</v>
      </c>
      <c r="G3" s="2" t="s">
        <v>77</v>
      </c>
      <c r="H3" s="2"/>
    </row>
    <row r="4" spans="1:9" x14ac:dyDescent="0.25">
      <c r="A4" s="64">
        <f t="shared" si="0"/>
        <v>2</v>
      </c>
      <c r="B4" s="64" t="str">
        <f>DEC2HEX('Memory  Map'!$B$3 + (A4*4))</f>
        <v>3F808</v>
      </c>
      <c r="C4" s="90" t="s">
        <v>128</v>
      </c>
      <c r="D4" s="110" t="s">
        <v>205</v>
      </c>
      <c r="E4" s="64">
        <v>0</v>
      </c>
      <c r="F4" s="64">
        <v>4294967296</v>
      </c>
      <c r="G4" s="64" t="s">
        <v>77</v>
      </c>
      <c r="H4" s="2"/>
    </row>
    <row r="5" spans="1:9" x14ac:dyDescent="0.25">
      <c r="A5" s="2">
        <f t="shared" si="0"/>
        <v>3</v>
      </c>
      <c r="B5" s="2" t="str">
        <f>DEC2HEX('Memory  Map'!$B$3 + (A5*4))</f>
        <v>3F80C</v>
      </c>
      <c r="C5" s="8" t="s">
        <v>129</v>
      </c>
      <c r="D5" s="110" t="s">
        <v>173</v>
      </c>
      <c r="E5" s="2">
        <v>0</v>
      </c>
      <c r="F5" s="2">
        <v>4294967296</v>
      </c>
      <c r="G5" s="2" t="s">
        <v>77</v>
      </c>
      <c r="H5" s="2"/>
    </row>
    <row r="6" spans="1:9" x14ac:dyDescent="0.25">
      <c r="A6" s="64">
        <f t="shared" si="0"/>
        <v>4</v>
      </c>
      <c r="B6" s="64" t="str">
        <f>DEC2HEX('Memory  Map'!$B$3 + (A6*4))</f>
        <v>3F810</v>
      </c>
      <c r="C6" s="90" t="s">
        <v>130</v>
      </c>
      <c r="D6" s="110" t="s">
        <v>203</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t="s">
        <v>147</v>
      </c>
      <c r="E8" s="64">
        <v>0</v>
      </c>
      <c r="F8" s="64">
        <v>4294967296</v>
      </c>
      <c r="G8" s="64" t="s">
        <v>77</v>
      </c>
    </row>
    <row r="9" spans="1:9" x14ac:dyDescent="0.25">
      <c r="A9" s="2">
        <f t="shared" ref="A9:A17" si="1">A8+1</f>
        <v>7</v>
      </c>
      <c r="B9" s="2" t="str">
        <f>DEC2HEX('Memory  Map'!$B$3 + (A9*4))</f>
        <v>3F81C</v>
      </c>
      <c r="C9" s="8" t="s">
        <v>133</v>
      </c>
      <c r="D9" s="110" t="s">
        <v>147</v>
      </c>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3" sqref="D13"/>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202</v>
      </c>
      <c r="E2" s="64">
        <v>0</v>
      </c>
      <c r="F2" s="64">
        <v>4294967296</v>
      </c>
      <c r="G2" s="64" t="s">
        <v>77</v>
      </c>
      <c r="H2" s="94"/>
    </row>
    <row r="3" spans="1:8" x14ac:dyDescent="0.25">
      <c r="A3" s="2">
        <f>A2+1</f>
        <v>1</v>
      </c>
      <c r="B3" s="2" t="str">
        <f>DEC2HEX('Memory  Map'!$B$5 +( Motor!A3 * 4))</f>
        <v>3FA24</v>
      </c>
      <c r="C3" t="s">
        <v>79</v>
      </c>
      <c r="D3" s="110" t="s">
        <v>205</v>
      </c>
      <c r="E3" s="2">
        <v>0</v>
      </c>
      <c r="F3" s="2">
        <v>4294967296</v>
      </c>
      <c r="G3" s="2" t="s">
        <v>77</v>
      </c>
    </row>
    <row r="4" spans="1:8" x14ac:dyDescent="0.25">
      <c r="A4" s="64">
        <f>A3+1</f>
        <v>2</v>
      </c>
      <c r="B4" s="64" t="str">
        <f>DEC2HEX('Memory  Map'!$B$5 +( Motor!A4 * 4))</f>
        <v>3FA28</v>
      </c>
      <c r="C4" s="94" t="s">
        <v>116</v>
      </c>
      <c r="D4" s="110" t="s">
        <v>174</v>
      </c>
      <c r="E4" s="64">
        <v>0</v>
      </c>
      <c r="F4" s="64">
        <v>4294967296</v>
      </c>
      <c r="G4" s="64" t="s">
        <v>77</v>
      </c>
      <c r="H4" s="94"/>
    </row>
    <row r="5" spans="1:8" x14ac:dyDescent="0.25">
      <c r="A5" s="2">
        <f>A4+1</f>
        <v>3</v>
      </c>
      <c r="B5" s="2" t="str">
        <f>DEC2HEX('Memory  Map'!$B$5 +( Motor!A5 * 4))</f>
        <v>3FA2C</v>
      </c>
      <c r="C5" t="s">
        <v>117</v>
      </c>
      <c r="D5" s="110" t="s">
        <v>204</v>
      </c>
      <c r="E5" s="2">
        <v>0</v>
      </c>
      <c r="F5" s="2">
        <v>4294967296</v>
      </c>
      <c r="G5" s="2" t="s">
        <v>77</v>
      </c>
    </row>
    <row r="6" spans="1:8" x14ac:dyDescent="0.25">
      <c r="A6" s="64">
        <f t="shared" ref="A6:A13" si="0">A5+1</f>
        <v>4</v>
      </c>
      <c r="B6" s="64" t="str">
        <f>DEC2HEX('Memory  Map'!$B$5 +( Motor!A6 * 4))</f>
        <v>3FA30</v>
      </c>
      <c r="C6" s="94" t="s">
        <v>150</v>
      </c>
      <c r="D6" s="93">
        <v>1435</v>
      </c>
      <c r="E6" s="64">
        <v>1</v>
      </c>
      <c r="F6" s="64">
        <v>2147483648</v>
      </c>
      <c r="G6" s="64" t="s">
        <v>91</v>
      </c>
      <c r="H6" s="94"/>
    </row>
    <row r="7" spans="1:8" x14ac:dyDescent="0.25">
      <c r="A7" s="2">
        <f t="shared" si="0"/>
        <v>5</v>
      </c>
      <c r="B7" s="2" t="str">
        <f>DEC2HEX('Memory  Map'!$B$5 +( Motor!A7 * 4))</f>
        <v>3FA34</v>
      </c>
      <c r="C7" t="s">
        <v>151</v>
      </c>
      <c r="D7" s="93">
        <v>428</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70700</v>
      </c>
      <c r="E9" s="2">
        <v>1</v>
      </c>
      <c r="F9" s="2">
        <v>2147483648</v>
      </c>
      <c r="G9" s="2" t="s">
        <v>91</v>
      </c>
    </row>
    <row r="10" spans="1:8" x14ac:dyDescent="0.25">
      <c r="A10" s="64">
        <f t="shared" si="0"/>
        <v>8</v>
      </c>
      <c r="B10" s="64" t="str">
        <f>DEC2HEX('Memory  Map'!$B$5 +( Motor!A10 * 4))</f>
        <v>3FA40</v>
      </c>
      <c r="C10" s="94" t="s">
        <v>154</v>
      </c>
      <c r="D10" s="93">
        <v>7000</v>
      </c>
      <c r="E10" s="64">
        <v>1</v>
      </c>
      <c r="F10" s="64">
        <v>2147483648</v>
      </c>
      <c r="G10" s="64" t="s">
        <v>91</v>
      </c>
      <c r="H10" s="94"/>
    </row>
    <row r="11" spans="1:8" x14ac:dyDescent="0.25">
      <c r="A11" s="2">
        <f t="shared" si="0"/>
        <v>9</v>
      </c>
      <c r="B11" s="2" t="str">
        <f>DEC2HEX('Memory  Map'!$B$5 +( Motor!A11 * 4))</f>
        <v>3FA44</v>
      </c>
      <c r="C11" t="s">
        <v>153</v>
      </c>
      <c r="D11" s="93">
        <v>10000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175</v>
      </c>
      <c r="E2" s="64">
        <v>0</v>
      </c>
      <c r="F2" s="64">
        <v>4294967296</v>
      </c>
      <c r="G2" s="64" t="s">
        <v>77</v>
      </c>
      <c r="H2" s="95"/>
    </row>
    <row r="3" spans="1:8" x14ac:dyDescent="0.25">
      <c r="A3" s="1">
        <f>A2+1</f>
        <v>1</v>
      </c>
      <c r="B3" s="2" t="str">
        <f>DEC2HEX('Memory  Map'!$B$6 +( Sensor!A3 * 4))</f>
        <v>3FAA4</v>
      </c>
      <c r="C3" s="96" t="s">
        <v>139</v>
      </c>
      <c r="D3" s="110" t="s">
        <v>176</v>
      </c>
      <c r="E3" s="2">
        <v>0</v>
      </c>
      <c r="F3" s="2">
        <v>4294967296</v>
      </c>
      <c r="G3" s="2" t="s">
        <v>77</v>
      </c>
    </row>
    <row r="4" spans="1:8" x14ac:dyDescent="0.25">
      <c r="A4" s="95">
        <f t="shared" ref="A4:A65" si="0">A3+1</f>
        <v>2</v>
      </c>
      <c r="B4" s="64" t="str">
        <f>DEC2HEX('Memory  Map'!$B$6 +( Sensor!A4 * 4))</f>
        <v>3FAA8</v>
      </c>
      <c r="C4" s="96" t="s">
        <v>140</v>
      </c>
      <c r="D4" s="110" t="s">
        <v>177</v>
      </c>
      <c r="E4" s="64">
        <v>0</v>
      </c>
      <c r="F4" s="64">
        <v>4294967296</v>
      </c>
      <c r="G4" s="64" t="s">
        <v>77</v>
      </c>
      <c r="H4" s="95"/>
    </row>
    <row r="5" spans="1:8" x14ac:dyDescent="0.25">
      <c r="A5" s="95">
        <f t="shared" si="0"/>
        <v>3</v>
      </c>
      <c r="B5" s="64" t="str">
        <f>DEC2HEX('Memory  Map'!$B$6 +( Sensor!A5 * 4))</f>
        <v>3FAAC</v>
      </c>
      <c r="C5" t="s">
        <v>141</v>
      </c>
      <c r="D5" s="110" t="s">
        <v>175</v>
      </c>
      <c r="E5" s="64">
        <v>0</v>
      </c>
      <c r="F5" s="64">
        <v>4294967296</v>
      </c>
      <c r="G5" s="64" t="s">
        <v>77</v>
      </c>
      <c r="H5" s="95"/>
    </row>
    <row r="6" spans="1:8" x14ac:dyDescent="0.25">
      <c r="A6" s="95">
        <f t="shared" si="0"/>
        <v>4</v>
      </c>
      <c r="B6" s="2" t="str">
        <f>DEC2HEX('Memory  Map'!$B$6 +( Sensor!A6 * 4))</f>
        <v>3FAB0</v>
      </c>
      <c r="C6" t="s">
        <v>137</v>
      </c>
      <c r="D6" s="110" t="s">
        <v>176</v>
      </c>
      <c r="E6" s="2">
        <v>0</v>
      </c>
      <c r="F6" s="2">
        <v>4294967296</v>
      </c>
      <c r="G6" s="2" t="s">
        <v>77</v>
      </c>
    </row>
    <row r="7" spans="1:8" x14ac:dyDescent="0.25">
      <c r="A7" s="95">
        <f t="shared" si="0"/>
        <v>5</v>
      </c>
      <c r="B7" s="64" t="str">
        <f>DEC2HEX('Memory  Map'!$B$6 +( Sensor!A7 * 4))</f>
        <v>3FAB4</v>
      </c>
      <c r="C7" t="s">
        <v>142</v>
      </c>
      <c r="D7" s="110" t="s">
        <v>177</v>
      </c>
      <c r="E7" s="64">
        <v>0</v>
      </c>
      <c r="F7" s="64">
        <v>4294967296</v>
      </c>
      <c r="G7" s="64" t="s">
        <v>77</v>
      </c>
      <c r="H7" s="95"/>
    </row>
    <row r="8" spans="1:8" x14ac:dyDescent="0.25">
      <c r="A8" s="95">
        <f t="shared" si="0"/>
        <v>6</v>
      </c>
      <c r="B8" s="64" t="str">
        <f>DEC2HEX('Memory  Map'!$B$6 +( Sensor!A8 * 4))</f>
        <v>3FAB8</v>
      </c>
      <c r="C8" s="96" t="s">
        <v>143</v>
      </c>
      <c r="D8" s="110" t="s">
        <v>175</v>
      </c>
      <c r="E8" s="64">
        <v>0</v>
      </c>
      <c r="F8" s="64">
        <v>4294967296</v>
      </c>
      <c r="G8" s="64" t="s">
        <v>77</v>
      </c>
      <c r="H8" s="95"/>
    </row>
    <row r="9" spans="1:8" x14ac:dyDescent="0.25">
      <c r="A9" s="95">
        <f t="shared" si="0"/>
        <v>7</v>
      </c>
      <c r="B9" s="2" t="str">
        <f>DEC2HEX('Memory  Map'!$B$6 +( Sensor!A9 * 4))</f>
        <v>3FABC</v>
      </c>
      <c r="C9" s="96" t="s">
        <v>144</v>
      </c>
      <c r="D9" s="110" t="s">
        <v>176</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24" activePane="bottomLeft" state="frozen"/>
      <selection pane="bottomLeft" activeCell="D41" sqref="D41"/>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178</v>
      </c>
      <c r="E2" s="59">
        <v>0</v>
      </c>
      <c r="F2" s="59">
        <v>2147483647</v>
      </c>
      <c r="G2" s="59" t="s">
        <v>77</v>
      </c>
      <c r="H2" s="59" t="s">
        <v>157</v>
      </c>
      <c r="I2" s="118"/>
    </row>
    <row r="3" spans="1:9" x14ac:dyDescent="0.25">
      <c r="A3" s="18">
        <f>A2+1</f>
        <v>1</v>
      </c>
      <c r="B3" s="130" t="str">
        <f>DEC2HEX('Memory  Map'!$B$4 + (A3*4))</f>
        <v>3F844</v>
      </c>
      <c r="C3" s="122" t="s">
        <v>76</v>
      </c>
      <c r="D3" s="110" t="s">
        <v>179</v>
      </c>
      <c r="E3" s="18">
        <v>0</v>
      </c>
      <c r="F3" s="18">
        <v>4294967296</v>
      </c>
      <c r="G3" s="18" t="s">
        <v>77</v>
      </c>
      <c r="H3" s="18"/>
      <c r="I3" s="7" t="s">
        <v>80</v>
      </c>
    </row>
    <row r="4" spans="1:9" x14ac:dyDescent="0.25">
      <c r="A4" s="60">
        <f t="shared" ref="A4:A59" si="0">A3+1</f>
        <v>2</v>
      </c>
      <c r="B4" s="60" t="str">
        <f>DEC2HEX('Memory  Map'!$B$4 + (A4*4))</f>
        <v>3F848</v>
      </c>
      <c r="C4" s="121" t="s">
        <v>126</v>
      </c>
      <c r="D4" s="110" t="s">
        <v>180</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7000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-10000</v>
      </c>
      <c r="E27" s="18">
        <v>0</v>
      </c>
      <c r="F27" s="18">
        <v>2147483648</v>
      </c>
      <c r="G27" s="18" t="s">
        <v>91</v>
      </c>
      <c r="H27" s="18"/>
      <c r="I27" s="118"/>
    </row>
    <row r="28" spans="1:9" x14ac:dyDescent="0.25">
      <c r="A28" s="60">
        <f t="shared" si="0"/>
        <v>26</v>
      </c>
      <c r="B28" s="60" t="str">
        <f>DEC2HEX('Memory  Map'!$B$4 + (A28*4))</f>
        <v>3F8A8</v>
      </c>
      <c r="C28" s="121" t="s">
        <v>17</v>
      </c>
      <c r="D28" s="93">
        <f>Motor!D11</f>
        <v>10000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10000</v>
      </c>
      <c r="E36" s="60">
        <v>0</v>
      </c>
      <c r="F36" s="60">
        <v>2147483647</v>
      </c>
      <c r="G36" s="60" t="s">
        <v>91</v>
      </c>
      <c r="H36" s="60"/>
      <c r="I36" s="118"/>
    </row>
    <row r="37" spans="1:9" x14ac:dyDescent="0.25">
      <c r="A37" s="18">
        <f t="shared" si="0"/>
        <v>35</v>
      </c>
      <c r="B37" s="18" t="str">
        <f>DEC2HEX('Memory  Map'!$B$4 + (A37*4))</f>
        <v>3F8CC</v>
      </c>
      <c r="C37" s="124" t="s">
        <v>169</v>
      </c>
      <c r="D37" s="135">
        <f>-Motor!D11</f>
        <v>-10000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181</v>
      </c>
      <c r="C61" s="122" t="s">
        <v>182</v>
      </c>
      <c r="D61" s="93">
        <v>0</v>
      </c>
      <c r="E61" s="18"/>
      <c r="F61" s="18"/>
      <c r="G61" s="18"/>
      <c r="H61" s="18"/>
    </row>
    <row r="62" spans="1:9" ht="30" x14ac:dyDescent="0.25">
      <c r="A62" s="60">
        <v>60</v>
      </c>
      <c r="B62" s="60" t="s">
        <v>183</v>
      </c>
      <c r="C62" s="121" t="s">
        <v>184</v>
      </c>
      <c r="D62" s="93">
        <v>0</v>
      </c>
      <c r="E62" s="60"/>
      <c r="F62" s="60"/>
      <c r="G62" s="60"/>
      <c r="H62" s="60"/>
      <c r="I62" s="118"/>
    </row>
    <row r="63" spans="1:9" x14ac:dyDescent="0.25">
      <c r="A63" s="18">
        <v>61</v>
      </c>
      <c r="B63" s="18" t="s">
        <v>185</v>
      </c>
      <c r="C63" s="122" t="s">
        <v>186</v>
      </c>
      <c r="D63" s="93">
        <v>0</v>
      </c>
      <c r="E63" s="18"/>
      <c r="F63" s="18"/>
      <c r="G63" s="18"/>
      <c r="H63" s="18"/>
    </row>
    <row r="64" spans="1:9" ht="30" x14ac:dyDescent="0.25">
      <c r="A64" s="60">
        <v>62</v>
      </c>
      <c r="B64" s="60" t="s">
        <v>187</v>
      </c>
      <c r="C64" s="121" t="s">
        <v>188</v>
      </c>
      <c r="D64" s="93">
        <v>0</v>
      </c>
      <c r="E64" s="60"/>
      <c r="F64" s="60"/>
      <c r="G64" s="60"/>
      <c r="H64" s="60"/>
      <c r="I64" s="118"/>
    </row>
    <row r="65" spans="1:9" x14ac:dyDescent="0.25">
      <c r="A65" s="18">
        <f t="shared" si="1"/>
        <v>63</v>
      </c>
      <c r="B65" s="18" t="s">
        <v>190</v>
      </c>
      <c r="C65" s="122" t="s">
        <v>191</v>
      </c>
      <c r="D65" s="93">
        <v>1</v>
      </c>
      <c r="E65" s="18"/>
      <c r="F65" s="18"/>
      <c r="G65" s="18"/>
      <c r="H65" s="18"/>
    </row>
    <row r="66" spans="1:9" x14ac:dyDescent="0.25">
      <c r="A66" s="60">
        <f t="shared" si="1"/>
        <v>64</v>
      </c>
      <c r="B66" s="60" t="s">
        <v>192</v>
      </c>
      <c r="C66" s="121" t="s">
        <v>193</v>
      </c>
      <c r="D66" s="93">
        <v>60</v>
      </c>
      <c r="E66" s="60"/>
      <c r="F66" s="60"/>
      <c r="G66" s="60"/>
      <c r="H66" s="60"/>
      <c r="I66" s="118"/>
    </row>
    <row r="67" spans="1:9" x14ac:dyDescent="0.25">
      <c r="A67" s="18">
        <f t="shared" si="1"/>
        <v>65</v>
      </c>
      <c r="B67" s="18" t="s">
        <v>194</v>
      </c>
      <c r="C67" s="122" t="s">
        <v>195</v>
      </c>
      <c r="D67" s="93">
        <v>1</v>
      </c>
      <c r="E67" s="18"/>
      <c r="F67" s="18"/>
      <c r="G67" s="18"/>
      <c r="H67" s="18"/>
    </row>
    <row r="68" spans="1:9" x14ac:dyDescent="0.25">
      <c r="A68" s="60">
        <f t="shared" si="1"/>
        <v>66</v>
      </c>
      <c r="B68" s="60" t="s">
        <v>196</v>
      </c>
      <c r="C68" s="121" t="s">
        <v>197</v>
      </c>
      <c r="D68" s="93">
        <v>1</v>
      </c>
      <c r="E68" s="60"/>
      <c r="F68" s="60"/>
      <c r="G68" s="60"/>
      <c r="H68" s="60"/>
      <c r="I68" s="118"/>
    </row>
    <row r="69" spans="1:9" x14ac:dyDescent="0.25">
      <c r="A69" s="18">
        <f t="shared" ref="A69:A121" si="2">A68+1</f>
        <v>67</v>
      </c>
      <c r="B69" s="18" t="s">
        <v>198</v>
      </c>
      <c r="C69" s="122" t="s">
        <v>199</v>
      </c>
      <c r="D69" s="93">
        <v>1</v>
      </c>
      <c r="E69" s="18"/>
      <c r="F69" s="18"/>
      <c r="G69" s="18"/>
      <c r="H69" s="18"/>
    </row>
    <row r="70" spans="1:9" x14ac:dyDescent="0.25">
      <c r="A70" s="60">
        <f t="shared" si="2"/>
        <v>68</v>
      </c>
      <c r="B70" s="60" t="s">
        <v>200</v>
      </c>
      <c r="C70" s="121" t="s">
        <v>201</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189</v>
      </c>
      <c r="E3" s="2">
        <v>0</v>
      </c>
      <c r="F3" s="2">
        <v>4294967296</v>
      </c>
      <c r="G3" s="2" t="s">
        <v>77</v>
      </c>
    </row>
    <row r="4" spans="1:8" x14ac:dyDescent="0.25">
      <c r="A4" s="95">
        <f t="shared" ref="A4:A33" si="0">A3+1</f>
        <v>2</v>
      </c>
      <c r="B4" s="64" t="str">
        <f>DEC2HEX('Memory  Map'!$B$7+(Lead!A4 * 4))</f>
        <v>3FBA8</v>
      </c>
      <c r="C4" s="97" t="s">
        <v>87</v>
      </c>
      <c r="D4" s="109" t="s">
        <v>189</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189</v>
      </c>
      <c r="E3" s="2">
        <v>0</v>
      </c>
      <c r="F3" s="2">
        <v>4294967296</v>
      </c>
      <c r="G3" s="2" t="s">
        <v>77</v>
      </c>
    </row>
    <row r="4" spans="1:8" x14ac:dyDescent="0.25">
      <c r="A4" s="64">
        <f t="shared" ref="A4:A33" si="0">A3+1</f>
        <v>2</v>
      </c>
      <c r="B4" s="64" t="str">
        <f>DEC2HEX('Memory  Map'!$B$8 + (A4 * 4))</f>
        <v>3FC28</v>
      </c>
      <c r="C4" s="97" t="s">
        <v>90</v>
      </c>
      <c r="D4" s="111" t="s">
        <v>189</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EC05</v>
      </c>
      <c r="E4" s="33" t="s">
        <v>114</v>
      </c>
      <c r="F4" s="34" t="s">
        <v>114</v>
      </c>
      <c r="G4" s="35" t="s">
        <v>114</v>
      </c>
      <c r="H4" s="35" t="s">
        <v>114</v>
      </c>
      <c r="I4" s="36" t="s">
        <v>114</v>
      </c>
      <c r="J4" s="73" t="str">
        <f t="shared" si="0"/>
        <v>E</v>
      </c>
      <c r="K4" s="59" t="str">
        <f t="shared" si="1"/>
        <v>C</v>
      </c>
      <c r="L4" s="59" t="str">
        <f t="shared" si="2"/>
        <v>0</v>
      </c>
      <c r="M4" s="74" t="str">
        <f t="shared" si="3"/>
        <v>5</v>
      </c>
      <c r="N4" s="73" t="str">
        <f t="shared" si="4"/>
        <v>E</v>
      </c>
      <c r="O4" s="59" t="str">
        <f t="shared" si="5"/>
        <v>C</v>
      </c>
      <c r="P4" s="59" t="str">
        <f t="shared" si="6"/>
        <v>0</v>
      </c>
      <c r="Q4" s="74" t="str">
        <f t="shared" si="7"/>
        <v>5</v>
      </c>
      <c r="R4" s="64" t="str">
        <f>_xlfn.CONCAT(N4,O4,P4,Q4)</f>
        <v>EC05</v>
      </c>
    </row>
    <row r="5" spans="1:21" x14ac:dyDescent="0.25">
      <c r="A5" s="48"/>
      <c r="B5" s="57" t="str">
        <f>'Configured Model'!C4</f>
        <v xml:space="preserve"> DEFAULT_ConfiguredModellNumber2</v>
      </c>
      <c r="C5" s="4" t="str">
        <f>'Configured Model'!B4</f>
        <v>3F808</v>
      </c>
      <c r="D5" s="113" t="str">
        <f>'Configured Model'!D4</f>
        <v>7B-4</v>
      </c>
      <c r="E5" s="38" t="s">
        <v>114</v>
      </c>
      <c r="F5" s="39" t="s">
        <v>114</v>
      </c>
      <c r="G5" s="40" t="s">
        <v>114</v>
      </c>
      <c r="H5" s="40" t="s">
        <v>114</v>
      </c>
      <c r="I5" s="41" t="s">
        <v>114</v>
      </c>
      <c r="J5" s="39" t="str">
        <f t="shared" si="0"/>
        <v>7</v>
      </c>
      <c r="K5" s="40" t="str">
        <f t="shared" si="1"/>
        <v>B</v>
      </c>
      <c r="L5" s="40" t="str">
        <f t="shared" si="2"/>
        <v>-</v>
      </c>
      <c r="M5" s="41" t="str">
        <f t="shared" si="3"/>
        <v>4</v>
      </c>
      <c r="N5" s="39" t="str">
        <f t="shared" si="4"/>
        <v>7</v>
      </c>
      <c r="O5" s="40" t="str">
        <f t="shared" si="5"/>
        <v>B</v>
      </c>
      <c r="P5" s="40" t="str">
        <f t="shared" si="6"/>
        <v>-</v>
      </c>
      <c r="Q5" s="41" t="str">
        <f t="shared" si="7"/>
        <v>4</v>
      </c>
      <c r="R5" s="2" t="str">
        <f t="shared" ref="R5:R17" si="8">_xlfn.CONCAT(N5,O5,P5,Q5)</f>
        <v>7B-4</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913-</v>
      </c>
      <c r="E7" s="38" t="s">
        <v>114</v>
      </c>
      <c r="F7" s="39" t="s">
        <v>114</v>
      </c>
      <c r="G7" s="40" t="s">
        <v>114</v>
      </c>
      <c r="H7" s="40" t="s">
        <v>114</v>
      </c>
      <c r="I7" s="41" t="s">
        <v>114</v>
      </c>
      <c r="J7" s="39" t="str">
        <f t="shared" si="0"/>
        <v>9</v>
      </c>
      <c r="K7" s="40" t="str">
        <f t="shared" si="1"/>
        <v>1</v>
      </c>
      <c r="L7" s="40" t="str">
        <f t="shared" si="2"/>
        <v>3</v>
      </c>
      <c r="M7" s="41" t="str">
        <f t="shared" si="3"/>
        <v>-</v>
      </c>
      <c r="N7" s="39" t="str">
        <f t="shared" si="4"/>
        <v>9</v>
      </c>
      <c r="O7" s="40" t="str">
        <f t="shared" si="5"/>
        <v>1</v>
      </c>
      <c r="P7" s="40" t="str">
        <f t="shared" si="6"/>
        <v>3</v>
      </c>
      <c r="Q7" s="41" t="str">
        <f t="shared" si="7"/>
        <v>-</v>
      </c>
      <c r="R7" s="2" t="str">
        <f t="shared" si="8"/>
        <v>913-</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t="str">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t="str">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7000</v>
      </c>
      <c r="E41" s="21" t="str">
        <f t="shared" si="37"/>
        <v>1B58</v>
      </c>
      <c r="F41" s="31">
        <f t="shared" si="24"/>
        <v>0</v>
      </c>
      <c r="G41" s="18">
        <f t="shared" si="25"/>
        <v>0</v>
      </c>
      <c r="H41" s="18">
        <f t="shared" si="26"/>
        <v>27</v>
      </c>
      <c r="I41" s="32">
        <f t="shared" si="27"/>
        <v>88</v>
      </c>
      <c r="J41" s="31" t="str">
        <f t="shared" si="28"/>
        <v>0</v>
      </c>
      <c r="K41" s="18" t="str">
        <f t="shared" si="29"/>
        <v>0</v>
      </c>
      <c r="L41" s="18" t="str">
        <f t="shared" si="30"/>
        <v>1B</v>
      </c>
      <c r="M41" s="32" t="str">
        <f t="shared" si="31"/>
        <v>58</v>
      </c>
      <c r="N41" s="23" t="str">
        <f t="shared" si="33"/>
        <v/>
      </c>
      <c r="O41" s="18" t="str">
        <f t="shared" si="34"/>
        <v/>
      </c>
      <c r="P41" s="18" t="str">
        <f t="shared" si="35"/>
        <v>_x001B_</v>
      </c>
      <c r="Q41" s="65" t="str">
        <f t="shared" si="36"/>
        <v>X</v>
      </c>
      <c r="R41" s="2" t="str">
        <f t="shared" si="22"/>
        <v>_x001B_X</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-10000</v>
      </c>
      <c r="E44" s="25" t="str">
        <f t="shared" si="37"/>
        <v>FFFFD8F0</v>
      </c>
      <c r="F44" s="29">
        <f t="shared" si="24"/>
        <v>255</v>
      </c>
      <c r="G44" s="19">
        <f t="shared" si="25"/>
        <v>255</v>
      </c>
      <c r="H44" s="19">
        <f t="shared" si="26"/>
        <v>216</v>
      </c>
      <c r="I44" s="30">
        <f t="shared" si="27"/>
        <v>240</v>
      </c>
      <c r="J44" s="29" t="str">
        <f t="shared" si="28"/>
        <v>FF</v>
      </c>
      <c r="K44" s="19" t="str">
        <f t="shared" si="29"/>
        <v>FF</v>
      </c>
      <c r="L44" s="19" t="str">
        <f t="shared" si="30"/>
        <v>D8</v>
      </c>
      <c r="M44" s="30" t="str">
        <f t="shared" si="31"/>
        <v>F0</v>
      </c>
      <c r="N44" s="22" t="str">
        <f t="shared" si="33"/>
        <v>ÿ</v>
      </c>
      <c r="O44" s="19" t="str">
        <f t="shared" si="34"/>
        <v>ÿ</v>
      </c>
      <c r="P44" s="19" t="str">
        <f t="shared" si="35"/>
        <v>Ø</v>
      </c>
      <c r="Q44" s="61" t="str">
        <f t="shared" si="36"/>
        <v>ð</v>
      </c>
      <c r="R44" s="64" t="str">
        <f t="shared" si="22"/>
        <v>ÿÿØð</v>
      </c>
    </row>
    <row r="45" spans="1:18" ht="13.9" customHeight="1" x14ac:dyDescent="0.25">
      <c r="A45" s="48"/>
      <c r="B45" s="57" t="str">
        <f>Drive!C28</f>
        <v xml:space="preserve"> DEFAULT_fMaxCurrentLimitmA</v>
      </c>
      <c r="C45" s="4" t="str">
        <f>Drive!B28</f>
        <v>3F8A8</v>
      </c>
      <c r="D45" s="113">
        <f>Drive!D28</f>
        <v>10000</v>
      </c>
      <c r="E45" s="21" t="str">
        <f t="shared" si="37"/>
        <v>2710</v>
      </c>
      <c r="F45" s="31">
        <f t="shared" si="24"/>
        <v>0</v>
      </c>
      <c r="G45" s="18">
        <f t="shared" si="25"/>
        <v>0</v>
      </c>
      <c r="H45" s="18">
        <f t="shared" si="26"/>
        <v>39</v>
      </c>
      <c r="I45" s="32">
        <f t="shared" si="27"/>
        <v>16</v>
      </c>
      <c r="J45" s="31" t="str">
        <f t="shared" si="28"/>
        <v>0</v>
      </c>
      <c r="K45" s="18" t="str">
        <f t="shared" si="29"/>
        <v>0</v>
      </c>
      <c r="L45" s="18" t="str">
        <f t="shared" si="30"/>
        <v>27</v>
      </c>
      <c r="M45" s="32" t="str">
        <f t="shared" si="31"/>
        <v>10</v>
      </c>
      <c r="N45" s="23" t="str">
        <f t="shared" si="33"/>
        <v/>
      </c>
      <c r="O45" s="18" t="str">
        <f t="shared" si="34"/>
        <v/>
      </c>
      <c r="P45" s="18" t="str">
        <f t="shared" si="35"/>
        <v>'</v>
      </c>
      <c r="Q45" s="65" t="str">
        <f t="shared" si="36"/>
        <v>_x0010_</v>
      </c>
      <c r="R45" s="2" t="str">
        <f t="shared" si="22"/>
        <v>'_x0010_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10000</v>
      </c>
      <c r="E53" s="21" t="str">
        <f t="shared" si="37"/>
        <v>2710</v>
      </c>
      <c r="F53" s="31">
        <f t="shared" si="24"/>
        <v>0</v>
      </c>
      <c r="G53" s="18">
        <f t="shared" si="25"/>
        <v>0</v>
      </c>
      <c r="H53" s="18">
        <f t="shared" si="26"/>
        <v>39</v>
      </c>
      <c r="I53" s="32">
        <f t="shared" si="27"/>
        <v>16</v>
      </c>
      <c r="J53" s="31" t="str">
        <f t="shared" si="28"/>
        <v>0</v>
      </c>
      <c r="K53" s="18" t="str">
        <f t="shared" si="29"/>
        <v>0</v>
      </c>
      <c r="L53" s="18" t="str">
        <f t="shared" si="30"/>
        <v>27</v>
      </c>
      <c r="M53" s="32" t="str">
        <f t="shared" si="31"/>
        <v>10</v>
      </c>
      <c r="N53" s="23" t="str">
        <f t="shared" si="33"/>
        <v/>
      </c>
      <c r="O53" s="18" t="str">
        <f t="shared" si="34"/>
        <v/>
      </c>
      <c r="P53" s="18" t="str">
        <f t="shared" si="35"/>
        <v>'</v>
      </c>
      <c r="Q53" s="65" t="str">
        <f t="shared" si="36"/>
        <v>_x0010_</v>
      </c>
      <c r="R53" s="2" t="str">
        <f t="shared" si="22"/>
        <v>'_x0010_</v>
      </c>
    </row>
    <row r="54" spans="1:18" ht="13.9" customHeight="1" x14ac:dyDescent="0.25">
      <c r="A54" s="47"/>
      <c r="B54" s="57" t="str">
        <f>Drive!C37</f>
        <v xml:space="preserve"> DEFAULT_VelocityPIDRegulatorMinLimitmA</v>
      </c>
      <c r="C54" s="4" t="str">
        <f>Drive!B37</f>
        <v>3F8CC</v>
      </c>
      <c r="D54" s="113">
        <f>Drive!D37</f>
        <v>-10000</v>
      </c>
      <c r="E54" s="25" t="str">
        <f t="shared" si="37"/>
        <v>FFFFD8F0</v>
      </c>
      <c r="F54" s="29">
        <f t="shared" si="24"/>
        <v>255</v>
      </c>
      <c r="G54" s="19">
        <f t="shared" si="25"/>
        <v>255</v>
      </c>
      <c r="H54" s="19">
        <f t="shared" si="26"/>
        <v>216</v>
      </c>
      <c r="I54" s="30">
        <f t="shared" si="27"/>
        <v>240</v>
      </c>
      <c r="J54" s="29" t="str">
        <f t="shared" si="28"/>
        <v>FF</v>
      </c>
      <c r="K54" s="19" t="str">
        <f t="shared" si="29"/>
        <v>FF</v>
      </c>
      <c r="L54" s="19" t="str">
        <f t="shared" si="30"/>
        <v>D8</v>
      </c>
      <c r="M54" s="30" t="str">
        <f t="shared" si="31"/>
        <v>F0</v>
      </c>
      <c r="N54" s="22" t="str">
        <f t="shared" si="33"/>
        <v>ÿ</v>
      </c>
      <c r="O54" s="19" t="str">
        <f t="shared" si="34"/>
        <v>ÿ</v>
      </c>
      <c r="P54" s="19" t="str">
        <f t="shared" si="35"/>
        <v>Ø</v>
      </c>
      <c r="Q54" s="61" t="str">
        <f t="shared" si="36"/>
        <v>ð</v>
      </c>
      <c r="R54" s="64" t="str">
        <f t="shared" si="22"/>
        <v>ÿÿØð</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EC05</v>
      </c>
      <c r="E139" s="38" t="s">
        <v>114</v>
      </c>
      <c r="F139" s="39" t="s">
        <v>114</v>
      </c>
      <c r="G139" s="40" t="s">
        <v>114</v>
      </c>
      <c r="H139" s="40" t="s">
        <v>114</v>
      </c>
      <c r="I139" s="41" t="s">
        <v>114</v>
      </c>
      <c r="J139" s="37" t="str">
        <f>MID($D139,1,1)</f>
        <v>E</v>
      </c>
      <c r="K139" s="40" t="str">
        <f>MID($D139,2,1)</f>
        <v>C</v>
      </c>
      <c r="L139" s="40" t="str">
        <f>MID($D139,3,1)</f>
        <v>0</v>
      </c>
      <c r="M139" s="66" t="str">
        <f>MID($D139,4,1)</f>
        <v>5</v>
      </c>
      <c r="N139" s="37" t="str">
        <f>MID($D139,1,1)</f>
        <v>E</v>
      </c>
      <c r="O139" s="40" t="str">
        <f>MID($D139,2,1)</f>
        <v>C</v>
      </c>
      <c r="P139" s="40" t="str">
        <f>MID($D139,3,1)</f>
        <v>0</v>
      </c>
      <c r="Q139" s="66" t="str">
        <f>MID($D139,4,1)</f>
        <v>5</v>
      </c>
      <c r="R139" s="2" t="str">
        <f t="shared" si="51"/>
        <v>EC05</v>
      </c>
    </row>
    <row r="140" spans="1:18" x14ac:dyDescent="0.25">
      <c r="A140" s="47"/>
      <c r="B140" s="56" t="str">
        <f>Motor!C3</f>
        <v>DEFAULT_MotorModelNumber2</v>
      </c>
      <c r="C140" s="52" t="str">
        <f>Motor!B3</f>
        <v>3FA24</v>
      </c>
      <c r="D140" s="115" t="str">
        <f>Motor!D3</f>
        <v>7B-4</v>
      </c>
      <c r="E140" s="25" t="s">
        <v>114</v>
      </c>
      <c r="F140" s="29" t="s">
        <v>114</v>
      </c>
      <c r="G140" s="19" t="s">
        <v>114</v>
      </c>
      <c r="H140" s="19" t="s">
        <v>114</v>
      </c>
      <c r="I140" s="30" t="s">
        <v>114</v>
      </c>
      <c r="J140" s="22" t="str">
        <f>MID($D140,1,1)</f>
        <v>7</v>
      </c>
      <c r="K140" s="19" t="str">
        <f>MID($D140,2,1)</f>
        <v>B</v>
      </c>
      <c r="L140" s="19" t="str">
        <f>MID($D140,3,1)</f>
        <v>-</v>
      </c>
      <c r="M140" s="61" t="str">
        <f>MID($D140,4,1)</f>
        <v>4</v>
      </c>
      <c r="N140" s="22" t="str">
        <f>MID($D140,1,1)</f>
        <v>7</v>
      </c>
      <c r="O140" s="19" t="str">
        <f>MID($D140,2,1)</f>
        <v>B</v>
      </c>
      <c r="P140" s="19" t="str">
        <f>MID($D140,3,1)</f>
        <v>-</v>
      </c>
      <c r="Q140" s="61" t="str">
        <f>MID($D140,4,1)</f>
        <v>4</v>
      </c>
      <c r="R140" s="64" t="str">
        <f t="shared" si="51"/>
        <v>7B-4</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803</v>
      </c>
      <c r="E142" s="25" t="s">
        <v>114</v>
      </c>
      <c r="F142" s="29" t="s">
        <v>114</v>
      </c>
      <c r="G142" s="19" t="s">
        <v>114</v>
      </c>
      <c r="H142" s="19" t="s">
        <v>114</v>
      </c>
      <c r="I142" s="30" t="s">
        <v>114</v>
      </c>
      <c r="J142" s="22" t="str">
        <f>MID($D142,1,1)</f>
        <v>8</v>
      </c>
      <c r="K142" s="19" t="str">
        <f>MID($D142,2,1)</f>
        <v>0</v>
      </c>
      <c r="L142" s="19" t="str">
        <f>MID($D142,3,1)</f>
        <v>3</v>
      </c>
      <c r="M142" s="61" t="str">
        <f>MID($D142,4,1)</f>
        <v/>
      </c>
      <c r="N142" s="22" t="str">
        <f>MID($D142,1,1)</f>
        <v>8</v>
      </c>
      <c r="O142" s="19" t="str">
        <f>MID($D142,2,1)</f>
        <v>0</v>
      </c>
      <c r="P142" s="19" t="str">
        <f>MID($D142,3,1)</f>
        <v>3</v>
      </c>
      <c r="Q142" s="61" t="str">
        <f>MID($D142,4,1)</f>
        <v/>
      </c>
      <c r="R142" s="64" t="str">
        <f t="shared" si="73"/>
        <v>803</v>
      </c>
    </row>
    <row r="143" spans="1:18" x14ac:dyDescent="0.25">
      <c r="A143" s="48"/>
      <c r="B143" s="55" t="str">
        <f>Motor!C6</f>
        <v>DEFAULT_MotorInductance_uH</v>
      </c>
      <c r="C143" s="51" t="str">
        <f>Motor!B6</f>
        <v>3FA30</v>
      </c>
      <c r="D143" s="23">
        <f>Motor!D6</f>
        <v>1435</v>
      </c>
      <c r="E143" s="21" t="str">
        <f t="shared" ref="E143:E170" si="74">IF(D143&gt;=0,DEC2HEX(D143),DEC2HEX(D143+ 2^32))</f>
        <v>59B</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5</v>
      </c>
      <c r="I143" s="32">
        <f t="shared" ref="I143:I148" si="78">IF(D143&gt;=0,TRUNC((D143-((F143*2^24)+(G143*2^16)+(H143*2^8)))),TRUNC(((D143+2^32)-((F143*2^24)+(G143*2^16)+(H143*2^8)))))</f>
        <v>155</v>
      </c>
      <c r="J143" s="31" t="str">
        <f t="shared" ref="J143:J148" si="79">DEC2HEX(F143)</f>
        <v>0</v>
      </c>
      <c r="K143" s="18" t="str">
        <f t="shared" ref="K143:K148" si="80">DEC2HEX(G143)</f>
        <v>0</v>
      </c>
      <c r="L143" s="18" t="str">
        <f t="shared" ref="L143:L148" si="81">DEC2HEX(H143)</f>
        <v>5</v>
      </c>
      <c r="M143" s="32" t="str">
        <f t="shared" ref="M143:M148" si="82">DEC2HEX(I143)</f>
        <v>9B</v>
      </c>
      <c r="N143" s="23" t="str">
        <f t="shared" ref="N143:N170" si="83">IF(F143&lt;&gt;0,CHAR(F143),"")</f>
        <v/>
      </c>
      <c r="O143" s="18" t="str">
        <f t="shared" ref="O143:O170" si="84">IF(G143&lt;&gt;0,CHAR(G143),"")</f>
        <v/>
      </c>
      <c r="P143" s="18" t="str">
        <f t="shared" ref="P143:P170" si="85">IF(H143&lt;&gt;0,CHAR(H143),"")</f>
        <v>_x0005_</v>
      </c>
      <c r="Q143" s="65" t="str">
        <f t="shared" ref="Q143:Q170" si="86">IF(I143&lt;&gt;0,CHAR(I143),"")</f>
        <v>›</v>
      </c>
      <c r="R143" s="2" t="str">
        <f t="shared" si="73"/>
        <v>_x0005_›</v>
      </c>
    </row>
    <row r="144" spans="1:18" x14ac:dyDescent="0.25">
      <c r="A144" s="47"/>
      <c r="B144" s="56" t="str">
        <f>Motor!C7</f>
        <v>DEFAULT_MotorResistance_mOhm</v>
      </c>
      <c r="C144" s="52" t="str">
        <f>Motor!B7</f>
        <v>3FA34</v>
      </c>
      <c r="D144" s="22">
        <f>Motor!D7</f>
        <v>428</v>
      </c>
      <c r="E144" s="25" t="str">
        <f t="shared" si="74"/>
        <v>1AC</v>
      </c>
      <c r="F144" s="29">
        <f t="shared" si="75"/>
        <v>0</v>
      </c>
      <c r="G144" s="19">
        <f t="shared" si="76"/>
        <v>0</v>
      </c>
      <c r="H144" s="19">
        <f t="shared" si="77"/>
        <v>1</v>
      </c>
      <c r="I144" s="30">
        <f t="shared" si="78"/>
        <v>172</v>
      </c>
      <c r="J144" s="29" t="str">
        <f t="shared" si="79"/>
        <v>0</v>
      </c>
      <c r="K144" s="19" t="str">
        <f t="shared" si="80"/>
        <v>0</v>
      </c>
      <c r="L144" s="19" t="str">
        <f t="shared" si="81"/>
        <v>1</v>
      </c>
      <c r="M144" s="30" t="str">
        <f t="shared" si="82"/>
        <v>AC</v>
      </c>
      <c r="N144" s="22" t="str">
        <f t="shared" si="83"/>
        <v/>
      </c>
      <c r="O144" s="19" t="str">
        <f t="shared" si="84"/>
        <v/>
      </c>
      <c r="P144" s="19" t="str">
        <f t="shared" si="85"/>
        <v>_x0001_</v>
      </c>
      <c r="Q144" s="61" t="str">
        <f t="shared" si="86"/>
        <v>¬</v>
      </c>
      <c r="R144" s="64" t="str">
        <f t="shared" si="73"/>
        <v>_x0001_¬</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70700</v>
      </c>
      <c r="E146" s="25" t="str">
        <f t="shared" si="74"/>
        <v>1142C</v>
      </c>
      <c r="F146" s="29">
        <f t="shared" si="75"/>
        <v>0</v>
      </c>
      <c r="G146" s="19">
        <f t="shared" si="76"/>
        <v>1</v>
      </c>
      <c r="H146" s="19">
        <f t="shared" si="77"/>
        <v>20</v>
      </c>
      <c r="I146" s="30">
        <f t="shared" si="78"/>
        <v>44</v>
      </c>
      <c r="J146" s="29" t="str">
        <f t="shared" si="79"/>
        <v>0</v>
      </c>
      <c r="K146" s="19" t="str">
        <f t="shared" si="80"/>
        <v>1</v>
      </c>
      <c r="L146" s="19" t="str">
        <f t="shared" si="81"/>
        <v>14</v>
      </c>
      <c r="M146" s="30" t="str">
        <f t="shared" si="82"/>
        <v>2C</v>
      </c>
      <c r="N146" s="22" t="str">
        <f t="shared" si="83"/>
        <v/>
      </c>
      <c r="O146" s="19" t="str">
        <f t="shared" si="84"/>
        <v>_x0001_</v>
      </c>
      <c r="P146" s="19" t="str">
        <f t="shared" si="85"/>
        <v>_x0014_</v>
      </c>
      <c r="Q146" s="61" t="str">
        <f t="shared" si="86"/>
        <v>,</v>
      </c>
      <c r="R146" s="64" t="str">
        <f t="shared" si="73"/>
        <v>_x0001__x0014_,</v>
      </c>
    </row>
    <row r="147" spans="1:18" x14ac:dyDescent="0.25">
      <c r="A147" s="48"/>
      <c r="B147" s="55" t="str">
        <f>Motor!C10</f>
        <v>DEFAULT_MotorRatedContinuosCurrent_mA</v>
      </c>
      <c r="C147" s="51" t="str">
        <f>Motor!B10</f>
        <v>3FA40</v>
      </c>
      <c r="D147" s="23">
        <f>Motor!D10</f>
        <v>7000</v>
      </c>
      <c r="E147" s="21" t="str">
        <f t="shared" si="74"/>
        <v>1B58</v>
      </c>
      <c r="F147" s="31">
        <f t="shared" si="75"/>
        <v>0</v>
      </c>
      <c r="G147" s="18">
        <f t="shared" si="76"/>
        <v>0</v>
      </c>
      <c r="H147" s="18">
        <f t="shared" si="77"/>
        <v>27</v>
      </c>
      <c r="I147" s="32">
        <f t="shared" si="78"/>
        <v>88</v>
      </c>
      <c r="J147" s="31" t="str">
        <f t="shared" si="79"/>
        <v>0</v>
      </c>
      <c r="K147" s="18" t="str">
        <f t="shared" si="80"/>
        <v>0</v>
      </c>
      <c r="L147" s="18" t="str">
        <f t="shared" si="81"/>
        <v>1B</v>
      </c>
      <c r="M147" s="32" t="str">
        <f t="shared" si="82"/>
        <v>58</v>
      </c>
      <c r="N147" s="23" t="str">
        <f t="shared" si="83"/>
        <v/>
      </c>
      <c r="O147" s="18" t="str">
        <f t="shared" si="84"/>
        <v/>
      </c>
      <c r="P147" s="18" t="str">
        <f t="shared" si="85"/>
        <v>_x001B_</v>
      </c>
      <c r="Q147" s="65" t="str">
        <f t="shared" si="86"/>
        <v>X</v>
      </c>
      <c r="R147" s="2" t="str">
        <f t="shared" si="73"/>
        <v>_x001B_X</v>
      </c>
    </row>
    <row r="148" spans="1:18" x14ac:dyDescent="0.25">
      <c r="A148" s="47"/>
      <c r="B148" s="56" t="str">
        <f>Motor!C11</f>
        <v>DEFAULT_MotorRatedPeakCurrent_mA</v>
      </c>
      <c r="C148" s="52" t="str">
        <f>Motor!B11</f>
        <v>3FA44</v>
      </c>
      <c r="D148" s="22">
        <f>Motor!D11</f>
        <v>10000</v>
      </c>
      <c r="E148" s="25" t="str">
        <f t="shared" si="74"/>
        <v>2710</v>
      </c>
      <c r="F148" s="29">
        <f t="shared" si="75"/>
        <v>0</v>
      </c>
      <c r="G148" s="19">
        <f t="shared" si="76"/>
        <v>0</v>
      </c>
      <c r="H148" s="19">
        <f t="shared" si="77"/>
        <v>39</v>
      </c>
      <c r="I148" s="30">
        <f t="shared" si="78"/>
        <v>16</v>
      </c>
      <c r="J148" s="29" t="str">
        <f t="shared" si="79"/>
        <v>0</v>
      </c>
      <c r="K148" s="19" t="str">
        <f t="shared" si="80"/>
        <v>0</v>
      </c>
      <c r="L148" s="19" t="str">
        <f t="shared" si="81"/>
        <v>27</v>
      </c>
      <c r="M148" s="30" t="str">
        <f t="shared" si="82"/>
        <v>10</v>
      </c>
      <c r="N148" s="22" t="str">
        <f t="shared" si="83"/>
        <v/>
      </c>
      <c r="O148" s="19" t="str">
        <f t="shared" si="84"/>
        <v/>
      </c>
      <c r="P148" s="19" t="str">
        <f t="shared" si="85"/>
        <v>'</v>
      </c>
      <c r="Q148" s="61" t="str">
        <f t="shared" si="86"/>
        <v>_x0010_</v>
      </c>
      <c r="R148" s="64" t="str">
        <f t="shared" si="73"/>
        <v>'_x0010_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2024-02-01T18:19:50Z</dcterms:modified>
</cp:coreProperties>
</file>