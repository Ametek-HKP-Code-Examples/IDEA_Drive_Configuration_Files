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0" documentId="8_{308B8FF5-D3B0-403E-8342-39BF4963A5C1}" xr6:coauthVersionLast="47" xr6:coauthVersionMax="47" xr10:uidLastSave="{00000000-0000-0000-0000-000000000000}"/>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l="1"/>
  <c r="G225" i="12"/>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B317" i="10" s="1"/>
  <c r="D323" i="12"/>
  <c r="B323" i="12"/>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6"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R92" i="12" l="1"/>
  <c r="L114" i="12"/>
  <c r="P229" i="12"/>
  <c r="P47" i="12"/>
  <c r="L108" i="12"/>
  <c r="I166" i="12"/>
  <c r="I233" i="12"/>
  <c r="Q233" i="12" s="1"/>
  <c r="P108" i="12"/>
  <c r="R108" i="12" s="1"/>
  <c r="M108" i="12"/>
  <c r="I43" i="12"/>
  <c r="M43" i="12" s="1"/>
  <c r="K90" i="12"/>
  <c r="L295" i="12"/>
  <c r="M193" i="12"/>
  <c r="Q160" i="12"/>
  <c r="O160" i="12"/>
  <c r="P150" i="12"/>
  <c r="R193" i="12"/>
  <c r="O60" i="12"/>
  <c r="K272" i="12"/>
  <c r="L160" i="12"/>
  <c r="O330" i="12"/>
  <c r="H330" i="12"/>
  <c r="L330" i="12" s="1"/>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M308" i="12"/>
  <c r="Q318" i="12"/>
  <c r="M318" i="12"/>
  <c r="Q27" i="12"/>
  <c r="R27" i="12" s="1"/>
  <c r="M27" i="12"/>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P330" i="12" l="1"/>
  <c r="Q288" i="12"/>
  <c r="R308" i="12"/>
  <c r="Q43" i="12"/>
  <c r="R43" i="12" s="1"/>
  <c r="R104" i="12"/>
  <c r="M233" i="12"/>
  <c r="R233" i="12"/>
  <c r="Q100" i="12"/>
  <c r="R100" i="12" s="1"/>
  <c r="P32" i="12"/>
  <c r="M203" i="12"/>
  <c r="R150" i="12"/>
  <c r="M166" i="12"/>
  <c r="Q166" i="12"/>
  <c r="R166" i="12" s="1"/>
  <c r="R160" i="12"/>
  <c r="I32" i="12"/>
  <c r="Q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R32" i="12"/>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R306" i="12" s="1"/>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<sst xmlns="http://schemas.openxmlformats.org/spreadsheetml/2006/main" count="733" uniqueCount="207">
  <si>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</si>
  <si>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</si>
  <si>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</si>
  <si>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</si>
  <si>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</si>
  <si>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</si>
  <si>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</si>
  <si>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</si>
  <si>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</si>
  <si>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</si>
  <si>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</si>
  <si>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</si>
  <si>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</si>
  <si>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</si>
  <si>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</si>
  <si>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</si>
  <si>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</si>
  <si>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</si>
  <si>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</si>
  <si>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</si>
  <si>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</si>
  <si>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</si>
  <si>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</si>
  <si>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</si>
  <si>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</si>
  <si>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</si>
  <si>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</si>
  <si>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</si>
  <si>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</si>
  <si>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</si>
  <si>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</si>
  <si>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</si>
  <si>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</si>
  <si>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</si>
  <si>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</si>
  <si>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</si>
  <si>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</si>
  <si>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</si>
  <si>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</si>
  <si>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</si>
  <si>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</si>
  <si>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</si>
  <si>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</si>
  <si>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</si>
  <si>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</si>
  <si>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</si>
  <si>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</si>
  <si>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</si>
  <si>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</si>
  <si>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</si>
  <si>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</si>
  <si>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</si>
  <si>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</si>
  <si>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</si>
  <si>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</si>
  <si>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</si>
  <si>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</si>
  <si>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</si>
  <si>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</si>
  <si>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</si>
  <si>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</si>
  <si>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</si>
  <si>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</si>
  <si>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</si>
  <si>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</si>
  <si>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</si>
  <si>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</si>
  <si>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</si>
  <si>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</si>
  <si>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</si>
  <si>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</si>
  <si>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</si>
  <si>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</si>
  <si>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</si>
  <si>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</si>
  <si>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</si>
  <si>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</si>
  <si>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</si>
  <si>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</si>
  <si>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</si>
  <si>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</si>
  <si>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</si>
  <si>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</si>
  <si>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</si>
  <si>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</si>
  <si>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</si>
  <si>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</si>
  <si>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</si>
  <si>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</si>
  <si>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</si>
  <si>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</si>
  <si>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</si>
  <si>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</si>
  <si>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</si>
  <si>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</si>
  <si>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</si>
  <si>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</si>
  <si>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</si>
  <si>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</si>
  <si>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</si>
  <si>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</si>
  <si>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</si>
  <si>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</si>
  <si>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</si>
  <si>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</si>
  <si>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</si>
  <si>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</si>
  <si>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</si>
  <si>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</si>
  <si>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</si>
  <si>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</si>
  <si>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</si>
  <si>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</si>
  <si>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</si>
  <si>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</si>
  <si>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</si>
  <si>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</si>
  <si>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</si>
  <si>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</si>
  <si>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</si>
  <si>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</si>
  <si>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</si>
  <si>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</si>
  <si>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</si>
  <si>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</si>
  <si>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</si>
  <si>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</si>
  <si>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</si>
  <si>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</si>
  <si>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</si>
  <si>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</si>
  <si>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</si>
  <si>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</si>
  <si>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</si>
  <si>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</si>
  <si>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</si>
  <si>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</si>
  <si>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</si>
  <si>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</si>
  <si>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</si>
  <si>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</si>
  <si>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</si>
  <si>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</si>
  <si>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</si>
  <si>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</si>
  <si>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</si>
  <si>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</si>
  <si>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</si>
  <si>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</si>
  <si>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</si>
  <si>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</si>
  <si>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</si>
  <si>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</si>
  <si>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</si>
  <si>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</si>
  <si>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</si>
  <si>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</si>
  <si>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</si>
  <si>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</si>
  <si>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</si>
  <si>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</si>
  <si>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</si>
  <si>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</si>
  <si>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</si>
  <si>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</si>
  <si>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</si>
  <si>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</si>
  <si>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</si>
  <si>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</si>
  <si>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</si>
  <si>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</si>
  <si>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</si>
  <si>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</si>
  <si>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</si>
  <si>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</si>
  <si>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</si>
  <si>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</si>
  <si>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</si>
  <si>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</si>
  <si>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</si>
  <si>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</si>
  <si>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</si>
  <si>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</si>
  <si>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</si>
  <si>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</si>
  <si>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</si>
  <si>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</si>
  <si>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</si>
  <si>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</si>
  <si>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</si>
  <si>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</si>
  <si>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</si>
  <si>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</si>
  <si>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</si>
  <si>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</si>
  <si>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</si>
  <si>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</si>
  <si>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</si>
  <si>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</si>
  <si>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</si>
  <si>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</si>
  <si>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</si>
  <si>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</si>
  <si>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803</t>
  </si>
  <si>
    <t>7B-4</t>
  </si>
  <si>
    <t>933-</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</si>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</sst>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H11" sqref="H11"/>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204</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3" sqref="D13"/>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204</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203</v>
      </c>
      <c r="E5" s="2">
        <v>0</v>
      </c>
      <c r="F5" s="2">
        <v>4294967296</v>
      </c>
      <c r="G5" s="2" t="s">
        <v>77</v>
      </c>
    </row>
    <row r="6" spans="1:8" x14ac:dyDescent="0.25">
      <c r="A6" s="64">
        <f t="shared" ref="A6:A13" si="0">A5+1</f>
        <v>4</v>
      </c>
      <c r="B6" s="64" t="str">
        <f>DEC2HEX('Memory  Map'!$B$5 +( Motor!A6 * 4))</f>
        <v>3FA30</v>
      </c>
      <c r="C6" s="94" t="s">
        <v>150</v>
      </c>
      <c r="D6" s="93">
        <v>1435</v>
      </c>
      <c r="E6" s="64">
        <v>1</v>
      </c>
      <c r="F6" s="64">
        <v>2147483648</v>
      </c>
      <c r="G6" s="64" t="s">
        <v>91</v>
      </c>
      <c r="H6" s="94"/>
    </row>
    <row r="7" spans="1:8" x14ac:dyDescent="0.25">
      <c r="A7" s="2">
        <f t="shared" si="0"/>
        <v>5</v>
      </c>
      <c r="B7" s="2" t="str">
        <f>DEC2HEX('Memory  Map'!$B$5 +( Motor!A7 * 4))</f>
        <v>3FA34</v>
      </c>
      <c r="C7" t="s">
        <v>151</v>
      </c>
      <c r="D7" s="93">
        <v>428</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70700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8" activePane="bottomLeft" state="frozen"/>
      <selection pane="bottomLeft" activeCell="H39" sqref="H39"/>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7B-4</v>
      </c>
      <c r="E5" s="38" t="s">
        <v>114</v>
      </c>
      <c r="F5" s="39" t="s">
        <v>114</v>
      </c>
      <c r="G5" s="40" t="s">
        <v>114</v>
      </c>
      <c r="H5" s="40" t="s">
        <v>114</v>
      </c>
      <c r="I5" s="41" t="s">
        <v>114</v>
      </c>
      <c r="J5" s="39" t="str">
        <f t="shared" si="0"/>
        <v>7</v>
      </c>
      <c r="K5" s="40" t="str">
        <f t="shared" si="1"/>
        <v>B</v>
      </c>
      <c r="L5" s="40" t="str">
        <f t="shared" si="2"/>
        <v>-</v>
      </c>
      <c r="M5" s="41" t="str">
        <f t="shared" si="3"/>
        <v>4</v>
      </c>
      <c r="N5" s="39" t="str">
        <f t="shared" si="4"/>
        <v>7</v>
      </c>
      <c r="O5" s="40" t="str">
        <f t="shared" si="5"/>
        <v>B</v>
      </c>
      <c r="P5" s="40" t="str">
        <f t="shared" si="6"/>
        <v>-</v>
      </c>
      <c r="Q5" s="41" t="str">
        <f t="shared" si="7"/>
        <v>4</v>
      </c>
      <c r="R5" s="2" t="str">
        <f t="shared" ref="R5:R17" si="8">_xlfn.CONCAT(N5,O5,P5,Q5)</f>
        <v>7B-4</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933-</v>
      </c>
      <c r="E7" s="38" t="s">
        <v>114</v>
      </c>
      <c r="F7" s="39" t="s">
        <v>114</v>
      </c>
      <c r="G7" s="40" t="s">
        <v>114</v>
      </c>
      <c r="H7" s="40" t="s">
        <v>114</v>
      </c>
      <c r="I7" s="41" t="s">
        <v>114</v>
      </c>
      <c r="J7" s="39" t="str">
        <f t="shared" si="0"/>
        <v>9</v>
      </c>
      <c r="K7" s="40" t="str">
        <f t="shared" si="1"/>
        <v>3</v>
      </c>
      <c r="L7" s="40" t="str">
        <f t="shared" si="2"/>
        <v>3</v>
      </c>
      <c r="M7" s="41" t="str">
        <f t="shared" si="3"/>
        <v>-</v>
      </c>
      <c r="N7" s="39" t="str">
        <f t="shared" si="4"/>
        <v>9</v>
      </c>
      <c r="O7" s="40" t="str">
        <f t="shared" si="5"/>
        <v>3</v>
      </c>
      <c r="P7" s="40" t="str">
        <f t="shared" si="6"/>
        <v>3</v>
      </c>
      <c r="Q7" s="41" t="str">
        <f t="shared" si="7"/>
        <v>-</v>
      </c>
      <c r="R7" s="2" t="str">
        <f t="shared" si="8"/>
        <v>933-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7B-4</v>
      </c>
      <c r="E140" s="25" t="s">
        <v>114</v>
      </c>
      <c r="F140" s="29" t="s">
        <v>114</v>
      </c>
      <c r="G140" s="19" t="s">
        <v>114</v>
      </c>
      <c r="H140" s="19" t="s">
        <v>114</v>
      </c>
      <c r="I140" s="30" t="s">
        <v>114</v>
      </c>
      <c r="J140" s="22" t="str">
        <f>MID($D140,1,1)</f>
        <v>7</v>
      </c>
      <c r="K140" s="19" t="str">
        <f>MID($D140,2,1)</f>
        <v>B</v>
      </c>
      <c r="L140" s="19" t="str">
        <f>MID($D140,3,1)</f>
        <v>-</v>
      </c>
      <c r="M140" s="61" t="str">
        <f>MID($D140,4,1)</f>
        <v>4</v>
      </c>
      <c r="N140" s="22" t="str">
        <f>MID($D140,1,1)</f>
        <v>7</v>
      </c>
      <c r="O140" s="19" t="str">
        <f>MID($D140,2,1)</f>
        <v>B</v>
      </c>
      <c r="P140" s="19" t="str">
        <f>MID($D140,3,1)</f>
        <v>-</v>
      </c>
      <c r="Q140" s="61" t="str">
        <f>MID($D140,4,1)</f>
        <v>4</v>
      </c>
      <c r="R140" s="64" t="str">
        <f t="shared" si="51"/>
        <v>7B-4</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1435</v>
      </c>
      <c r="E143" s="21" t="str">
        <f t="shared" ref="E143:E170" si="74">IF(D143&gt;=0,DEC2HEX(D143),DEC2HEX(D143+ 2^32))</f>
        <v>59B</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5</v>
      </c>
      <c r="I143" s="32">
        <f t="shared" ref="I143:I148" si="78">IF(D143&gt;=0,TRUNC((D143-((F143*2^24)+(G143*2^16)+(H143*2^8)))),TRUNC(((D143+2^32)-((F143*2^24)+(G143*2^16)+(H143*2^8)))))</f>
        <v>155</v>
      </c>
      <c r="J143" s="31" t="str">
        <f t="shared" ref="J143:J148" si="79">DEC2HEX(F143)</f>
        <v>0</v>
      </c>
      <c r="K143" s="18" t="str">
        <f t="shared" ref="K143:K148" si="80">DEC2HEX(G143)</f>
        <v>0</v>
      </c>
      <c r="L143" s="18" t="str">
        <f t="shared" ref="L143:L148" si="81">DEC2HEX(H143)</f>
        <v>5</v>
      </c>
      <c r="M143" s="32" t="str">
        <f t="shared" ref="M143:M148" si="82">DEC2HEX(I143)</f>
        <v>9B</v>
      </c>
      <c r="N143" s="23" t="str">
        <f t="shared" ref="N143:N170" si="83">IF(F143&lt;&gt;0,CHAR(F143),"")</f>
        <v/>
      </c>
      <c r="O143" s="18" t="str">
        <f t="shared" ref="O143:O170" si="84">IF(G143&lt;&gt;0,CHAR(G143),"")</f>
        <v/>
      </c>
      <c r="P143" s="18" t="str">
        <f t="shared" ref="P143:P170" si="85">IF(H143&lt;&gt;0,CHAR(H143),"")</f>
        <v>_x0005_</v>
      </c>
      <c r="Q143" s="65" t="str">
        <f t="shared" ref="Q143:Q170" si="86">IF(I143&lt;&gt;0,CHAR(I143),"")</f>
        <v>›</v>
      </c>
      <c r="R143" s="2" t="str">
        <f t="shared" si="73"/>
        <v>_x0005_›</v>
      </c>
    </row>
    <row r="144" spans="1:18" x14ac:dyDescent="0.25">
      <c r="A144" s="47"/>
      <c r="B144" s="56" t="str">
        <f>Motor!C7</f>
        <v>DEFAULT_MotorResistance_mOhm</v>
      </c>
      <c r="C144" s="52" t="str">
        <f>Motor!B7</f>
        <v>3FA34</v>
      </c>
      <c r="D144" s="22">
        <f>Motor!D7</f>
        <v>428</v>
      </c>
      <c r="E144" s="25" t="str">
        <f t="shared" si="74"/>
        <v>1AC</v>
      </c>
      <c r="F144" s="29">
        <f t="shared" si="75"/>
        <v>0</v>
      </c>
      <c r="G144" s="19">
        <f t="shared" si="76"/>
        <v>0</v>
      </c>
      <c r="H144" s="19">
        <f t="shared" si="77"/>
        <v>1</v>
      </c>
      <c r="I144" s="30">
        <f t="shared" si="78"/>
        <v>172</v>
      </c>
      <c r="J144" s="29" t="str">
        <f t="shared" si="79"/>
        <v>0</v>
      </c>
      <c r="K144" s="19" t="str">
        <f t="shared" si="80"/>
        <v>0</v>
      </c>
      <c r="L144" s="19" t="str">
        <f t="shared" si="81"/>
        <v>1</v>
      </c>
      <c r="M144" s="30" t="str">
        <f t="shared" si="82"/>
        <v>AC</v>
      </c>
      <c r="N144" s="22" t="str">
        <f t="shared" si="83"/>
        <v/>
      </c>
      <c r="O144" s="19" t="str">
        <f t="shared" si="84"/>
        <v/>
      </c>
      <c r="P144" s="19" t="str">
        <f t="shared" si="85"/>
        <v>_x0001_</v>
      </c>
      <c r="Q144" s="61" t="str">
        <f t="shared" si="86"/>
        <v>¬</v>
      </c>
      <c r="R144" s="64" t="str">
        <f t="shared" si="73"/>
        <v>_x0001_¬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70700</v>
      </c>
      <c r="E146" s="25" t="str">
        <f t="shared" si="74"/>
        <v>1142C</v>
      </c>
      <c r="F146" s="29">
        <f t="shared" si="75"/>
        <v>0</v>
      </c>
      <c r="G146" s="19">
        <f t="shared" si="76"/>
        <v>1</v>
      </c>
      <c r="H146" s="19">
        <f t="shared" si="77"/>
        <v>20</v>
      </c>
      <c r="I146" s="30">
        <f t="shared" si="78"/>
        <v>44</v>
      </c>
      <c r="J146" s="29" t="str">
        <f t="shared" si="79"/>
        <v>0</v>
      </c>
      <c r="K146" s="19" t="str">
        <f t="shared" si="80"/>
        <v>1</v>
      </c>
      <c r="L146" s="19" t="str">
        <f t="shared" si="81"/>
        <v>14</v>
      </c>
      <c r="M146" s="30" t="str">
        <f t="shared" si="82"/>
        <v>2C</v>
      </c>
      <c r="N146" s="22" t="str">
        <f t="shared" si="83"/>
        <v/>
      </c>
      <c r="O146" s="19" t="str">
        <f t="shared" si="84"/>
        <v>_x0001_</v>
      </c>
      <c r="P146" s="19" t="str">
        <f t="shared" si="85"/>
        <v>_x0014_</v>
      </c>
      <c r="Q146" s="61" t="str">
        <f t="shared" si="86"/>
        <v>,</v>
      </c>
      <c r="R146" s="64" t="str">
        <f t="shared" si="73"/>
        <v>_x0001__x0014_,</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2024-02-01T18:15:49Z</dcterms:modified>
</cp:coreProperties>
</file>